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83583bcd0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件采购" sheetId="1" r:id="Rf00f6b34366e4f5b"/>
    <x:sheet xmlns:r="http://schemas.openxmlformats.org/officeDocument/2006/relationships" name="其他物料核实" sheetId="2" r:id="R1c5c5cac44894f3f"/>
    <x:sheet xmlns:r="http://schemas.openxmlformats.org/officeDocument/2006/relationships" name="已有设备核对" sheetId="3" r:id="R12acc736a7d14026"/>
  </x:sheets>
</x:workbook>
</file>

<file path=xl/comments1.xml><?xml version="1.0" encoding="utf-8"?>
<x:comments xmlns:x="http://schemas.openxmlformats.org/spreadsheetml/2006/main">
  <x:authors>
    <x:author/>
  </x:authors>
  <x:commentList>
    <x:comment ref="C9" authorId="0">
      <x:text>
        <x:r>
          <x:t>来源：V8.2 BOM LH01
https://www.norelem.es/medias/07160-ST-Datasheet-32102-Socket-head-screws-DIN-EN-ISO-4762-enhanced-steel-en.pdf?context=bWFzdGVyfHJvb3R8Mjc4MTEzfGFwcGxpY2F0aW9uL3BkZnxhREEyTDJobE5TODVORGt5TmpreE9ERXlNemd5THpBM01UWXdYMU5VWDBSaGRHRnphR1ZsZEY4ek1qRXdNbDlUYjJOclpYUmZhR1ZoWkY5elkzSmxkM05mUkVsT1gwVk9YMGxUVDE4ME56WXlYMlZ1YUdGdVkyVmtYM04wWldWc0xTMWxiaTV3WkdZfGM1Y2MxMzYwMDFiYzUzMDY3ZDQ4NTAxMWJhZmE0NTlmZWI2NjQ4OTY3NGI0MGRjZWY2NjU5MTZjMzJmODI1OTI；electrical_build.json
原规格说明：通用长度；用于髋转子法兰、轮电机定子和轮辋。轮辋12枚为V8.1补齐。 机身用法见BODY_ASSEMBLY.md。</x:t>
        </x:r>
      </x:text>
    </x:comment>
    <x:comment ref="C10" authorId="0">
      <x:text>
        <x:r>
          <x:t>来源：V8.2 BOM LH02
https://www.norelem.es/medias/07160-ST-Datasheet-32102-Socket-head-screws-DIN-EN-ISO-4762-enhanced-steel-en.pdf?context=bWFzdGVyfHJvb3R8Mjc4MTEzfGFwcGxpY2F0aW9uL3BkZnxhREEyTDJobE5TODVORGt5TmpreE9ERXlNemd5THpBM01UWXdYMU5VWDBSaGRHRnphR1ZsZEY4ek1qRXdNbDlUYjJOclpYUmZhR1ZoWkY5elkzSmxkM05mUkVsT1gwVk9YMGxUVDE4ME56WXlYMlZ1YUdGdVkyVmtYM04wWldWc0xTMWxiaTV3WkdZfGM1Y2MxMzYwMDFiYzUzMDY3ZDQ4NTAxMWJhZmE0NTlmZWI2NjQ4OTY3NGI0MGRjZWY2NjU5MTZjMzJmODI1OTI；electrical_build.json
原规格说明：OA到膝转子；夹持12、啮合4 mm，不可用M3×8代替。</x:t>
        </x:r>
      </x:text>
    </x:comment>
    <x:comment ref="C11" authorId="0">
      <x:text>
        <x:r>
          <x:t>来源：V8.2 BOM LH03
https://www.nbk1560.com/images/en-US/product/lowsmallheadscrew/SLH-SD/SLH-SD_1.pdf
原规格说明：膝后定子4/侧及OB前定子6/侧；保留小头以避让紧凑孔壁，非普通ISO4762。</x:t>
        </x:r>
      </x:text>
    </x:comment>
    <x:comment ref="C12" authorId="0">
      <x:text>
        <x:r>
          <x:t>来源：V8.2 BOM LH04
https://www.nbk1560.com/images/en-US/product/lowsmallheadscrew/SLH-SD/SLH-SD_1.pdf
原规格说明：两法兰侧向锁紧。厂家1.4 N·m是螺钉上限，不是该铝接头装配扭矩。</x:t>
        </x:r>
      </x:text>
    </x:comment>
    <x:comment ref="C13" authorId="0">
      <x:text>
        <x:r>
          <x:t>来源：V8.2 BOM LH05
https://www.nbk1560.com/en-US/products/specialscrew/nedzicom/spacesaving/SETS/
原规格说明：轴承压盖18枚+轴销两端防脱12枚。原厂最大0.15 N·m不可直接当成铝压盖或薄挡片的最终扭矩。</x:t>
        </x:r>
      </x:text>
    </x:comment>
    <x:comment ref="C14" authorId="0">
      <x:text>
        <x:r>
          <x:t>来源：V8.2 BOM LH06
https://www.bossard.com/us-en/eshop/screws-and-bolts-with-internal-drive/hex-socket-flat-countersunk-head-screws-fully-threaded/p/20/
原规格说明：OB内框到外壳；DIN已撤销但仍有目录件。不得不检查就换ISO10642大头。</x:t>
        </x:r>
      </x:text>
    </x:comment>
    <x:comment ref="C15" authorId="0">
      <x:text>
        <x:r>
          <x:t>来源：V8.2 BOM LH07
https://www.bossard.com/us-en/eshop/screws-and-bolts-with-internal-drive/hex-socket-flat-countersunk-head-screws-fully-threaded/p/20/
原规格说明：髋电机定子到髋座；深5的电机孔中名义啮合3。</x:t>
        </x:r>
      </x:text>
    </x:comment>
    <x:comment ref="C16" authorId="0">
      <x:text>
        <x:r>
          <x:t>来源：V8.2 BOM LH08
https://www.bossard.com/us-en/eshop/screws-and-bolts-with-internal-drive/hex-socket-flat-countersunk-head-screws-fully-threaded/p/20/
原规格说明：腿模块到机身侧框；每侧4枚，整机总装时使用，机身BOM不要重复。</x:t>
        </x:r>
      </x:text>
    </x:comment>
    <x:comment ref="C17" authorId="0">
      <x:text>
        <x:r>
          <x:t>来源：V8.2 BOM LH09
https://www.obo.de/de-de/produkte/unterlegscheibe-9-4-3-0-8-m4-3402045.html
原规格说明：外形来源为厂家DIN125A表；采购选200HV等级，不能拿未标硬度或软塑料垫圈替换。每个M4接口一片。</x:t>
        </x:r>
      </x:text>
    </x:comment>
    <x:comment ref="C18" authorId="0">
      <x:text>
        <x:r>
          <x:t>来源：V8.2 BOM LH10
https://www.norelem.com/doc/hu/hu/did.294335/Normenuebersicht-der-Verbindungselemente-NLM_HU.pdf
原规格说明：髋座总装用；与M4沉头螺钉配对，现场防松工艺确认后做扭矩标记。</x:t>
        </x:r>
      </x:text>
    </x:comment>
    <x:comment ref="C19" authorId="0">
      <x:text>
        <x:r>
          <x:t>来源：V8.2 BOM LH11
https://www.norelem.mx/doc/mx/es/did.97191/03320_Datasheet_2785_Pasadores_cil_ndricos_DIN_6325--es.pdf
原规格说明：3/髋法兰；取代旧定制9mm。只控制装入法兰7.00±0.05；外露名义3、随实际长度变化（详公差文档），三销按实物检具确认，禁止螺钉强拉。</x:t>
        </x:r>
      </x:text>
    </x:comment>
    <x:comment ref="C20" authorId="0">
      <x:text>
        <x:r>
          <x:t>来源：V8.2 BOM LH12
https://www.nsk.com/jp-ja/engineering/products/bearings/ball-bearings/deep-groove-ball-bearings/extra-small-ball-bearings-and-miniature-ball-bearings-metric-series/626zz1-esm-md.html
原规格说明：A、B、C各1/腿，普通游隙版本；不得仅按626尺寸采购C3/MC3等异游隙版本。额定载荷不等于整机跳跃能力。</x:t>
        </x:r>
      </x:text>
    </x:comment>
    <x:comment ref="C21" authorId="0">
      <x:text>
        <x:r>
          <x:t>来源：V8.2 BOM BH01
baseline_v81/BODY_ASSEMBLY.md；baseline_v81/body_hardware_bom.json
原规格说明：Select actual head diameter 6 mm / height 1.7 mm / 90-degree head. Do NOT substitute unrestricted ISO10642; its M3 head can reach 6.72 mm. Body clearance countersink D6.4. Modeled free grip and head, engaged threads omitted.</x:t>
        </x:r>
      </x:text>
    </x:comment>
    <x:comment ref="C22" authorId="0">
      <x:text>
        <x:r>
          <x:t>来源：V8.2 BOM BH03
baseline_v81/BODY_ASSEMBLY.md；baseline_v81/body_hardware_bom.json；electrical_build.json
原规格说明：</x:t>
        </x:r>
      </x:text>
    </x:comment>
    <x:comment ref="C23" authorId="0">
      <x:text>
        <x:r>
          <x:t>来源：V8.2 BOM BH04
baseline_v81/BODY_ASSEMBLY.md；baseline_v81/body_hardware_bom.json；electrical_build.json
原规格说明：</x:t>
        </x:r>
      </x:text>
    </x:comment>
    <x:comment ref="C24" authorId="0">
      <x:text>
        <x:r>
          <x:t>来源：V8.2 BOM BH05
baseline_v81/BODY_ASSEMBLY.md；baseline_v81/body_hardware_bom.json
原规格说明：</x:t>
        </x:r>
      </x:text>
    </x:comment>
    <x:comment ref="C25" authorId="0">
      <x:text>
        <x:r>
          <x:t>来源：V8.2 BOM BH06
baseline_v81/BODY_ASSEMBLY.md；baseline_v81/body_hardware_bom.json
原规格说明：Select smooth head diameter &lt;=4.5 mm, height&lt;=2.5 mm, AF2. Manufacturer relief radius2.3 mm; unrestricted knurled/oversize head is not accepted.</x:t>
        </x:r>
      </x:text>
    </x:comment>
    <x:comment ref="C26" authorId="0">
      <x:text>
        <x:r>
          <x:t>来源：V8.2 BOM BH07
baseline_v81/BODY_ASSEMBLY.md；baseline_v81/body_hardware_bom.json；electrical_build.json
原规格说明：Nominal CAD matches AF5.5/max thickness2.4; supplier dimensional range AF5.32..5.5, height2.15..2.4. Printed nut pockets AF5.8 are process starting dimensions, not guaranteed press fits.</x:t>
        </x:r>
      </x:text>
    </x:comment>
    <x:comment ref="C27" authorId="0">
      <x:text>
        <x:r>
          <x:t>来源：V8.2 BOM BH08
baseline_v81/BODY_ASSEMBLY.md；baseline_v81/body_hardware_bom.json；electrical_build.json
原规格说明：Use regular-height metal nut; maximum height2 mm and AF5. Do not replace with tall nyloc nut without clearance check.</x:t>
        </x:r>
      </x:text>
    </x:comment>
    <x:comment ref="C28" authorId="0">
      <x:text>
        <x:r>
          <x:t>来源：V8.2 BOM BH09
baseline_v81/BODY_ASSEMBLY.md；baseline_v81/body_hardware_bom.json
原规格说明：These four spreading washers are intentional; not improvised grip-length correction. Incoming ID3.2..3.38/OD6.64..7/t0.45..0.55 mm.</x:t>
        </x:r>
      </x:text>
    </x:comment>
    <x:comment ref="C29" authorId="0">
      <x:text>
        <x:r>
          <x:t>来源：V8.2 BOM EH01
electrical_build.json；ELECTRICAL_INTEGRATION.md
原规格说明：标准简化几何；首件确认工具空间和防松。</x:t>
        </x:r>
      </x:text>
    </x:comment>
    <x:comment ref="C30" authorId="0">
      <x:text>
        <x:r>
          <x:t>来源：V8.2 BOM EH02
electrical_build.json；ELECTRICAL_INTEGRATION.md
原规格说明：标准简化几何；首件确认工具空间和防松。</x:t>
        </x:r>
      </x:text>
    </x:comment>
    <x:comment ref="C31" authorId="0">
      <x:text>
        <x:r>
          <x:t>来源：V8.2 BOM EH03
electrical_build.json；ELECTRICAL_INTEGRATION.md
原规格说明：标准简化几何；首件确认工具空间和防松。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C9" authorId="0">
      <x:text>
        <x:r>
          <x:t>来源：V8.2 BOM E08
design_parameters.json
原规格说明：按轮辋匹配；硬度、摩擦、固定方式和跳跃耐久需样件确认。</x:t>
        </x:r>
      </x:text>
    </x:comment>
    <x:comment ref="C10" authorId="0">
      <x:text>
        <x:r>
          <x:t>来源：V8.2 BOM C01
baseline_v81/body_hardware_bom.json
原规格说明：0.5为最终压缩厚度目标；仅支撑金属外框，不挤压屏幕玻璃。</x:t>
        </x:r>
      </x:text>
    </x:comment>
    <x:comment ref="C11" authorId="0">
      <x:text>
        <x:r>
          <x:t>来源：V8.2 BOM C02
baseline_v81/body_hardware_bom.json
原规格说明：机外穿带固定；保守绕行231mm加顶部搭接≥50mm；扣头/搭接避DC口并核实真实厚度。</x:t>
        </x:r>
      </x:text>
    </x:comment>
    <x:comment ref="C12" authorId="0">
      <x:text>
        <x:r>
          <x:t>来源：V8.2 BOM T01
ELECTRICAL_INTEGRATION.md
原规格说明：转换器/配电板/自锁开关已分别列E09、E12、E13；此项仅保留未确定的保护器件、必要的DC分断方案，不重复采购。</x:t>
        </x:r>
      </x:text>
    </x:comment>
    <x:comment ref="C13" authorId="0">
      <x:text>
        <x:r>
          <x:t>来源：V8.2 BOM T02
ELECTRICAL_INTEGRATION.md
原规格说明：充电支路位于总开关前；背部右下可换板导孔待按母座图纸后加工。极性待核对。</x:t>
        </x:r>
      </x:text>
    </x:comment>
    <x:comment ref="C14" authorId="0">
      <x:text>
        <x:r>
          <x:t>来源：V8.2 BOM T03
ELECTRICAL_INTEGRATION.md
原规格说明：USB/DP→HDMI/DC一分二及电源线、CAN/电机线、护线件长度规格待实配。扩展坞150mm上行线、开关随件线、转换器130mm引线及电机原配线包含于对应总成，不重复计。</x:t>
        </x:r>
      </x:text>
    </x:comment>
    <x:comment ref="C15" authorId="0">
      <x:text>
        <x:r>
          <x:t>来源：V8.2 BOM T04
ELECTRICAL_INTEGRATION.md
原规格说明：选与铝、钢及邻近塑料兼容的可拆防松工艺；扭矩经样件验证。</x:t>
        </x:r>
      </x:text>
    </x:comment>
    <x:comment ref="C16" authorId="0">
      <x:text>
        <x:r>
          <x:t>来源：V8.2 BOM C03
MODULE_ASSEMBLY.md
原规格说明：X−63..−61，Y中心±35，Z10..10.5；只压非端口壳边。未作为独立刚体建模，不由未压缩泡棉标称厚度替代实际间隙。</x:t>
        </x:r>
      </x:text>
    </x:comment>
    <x:comment ref="C17" authorId="0">
      <x:text>
        <x:r>
          <x:t>来源：V8.2 BOM C04
routing_allowances.json；ELECTRICAL_INTEGRATION.md
原规格说明：与扩展坞原配150mm线组合绕过机内障碍；支持USB3数据，非仅充电线。长度含接头的定义与弯曲需实测；不重复计随坞原线。</x:t>
        </x:r>
      </x:text>
    </x:comment>
    <x:comment ref="C18" authorId="0">
      <x:text>
        <x:r>
          <x:t>来源：V8.2 BOM T05
routing_allowances.json；MODULE_ASSEMBLY.md
原规格说明：两侧机壳出线孔各1、托盘过线孔1。需确认实际线束/预装插头能穿过，必要时选可开合护线套；不把设计孔当选定商品。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C9" authorId="0">
      <x:text>
        <x:r>
          <x:t>来源：V8.2 BOM E01
source/hardware/j4310_drawing.txt
原规格说明：电机内部零件与紧固件不拆计。</x:t>
        </x:r>
      </x:text>
    </x:comment>
    <x:comment ref="C10" authorId="0">
      <x:text>
        <x:r>
          <x:t>来源：V8.2 BOM E02
source/hardware/h6215_drawing.txt
原规格说明：轮辋紧固螺钉已计入LH01。</x:t>
        </x:r>
      </x:text>
    </x:comment>
    <x:comment ref="C11" authorId="0">
      <x:text>
        <x:r>
          <x:t>来源：V8.2 BOM E03
baseline_v81/payload_interfaces.json
原规格说明：含原厂底座/散热器；按实际版本核对接口。</x:t>
        </x:r>
      </x:text>
    </x:comment>
    <x:comment ref="C12" authorId="0">
      <x:text>
        <x:r>
          <x:t>来源：V8.2 BOM E04
baseline_v81/payload_interfaces.json
原规格说明：一个设备，两种CAD表达；后座深度按实物25.05/26.05二选一。</x:t>
        </x:r>
      </x:text>
    </x:comment>
    <x:comment ref="C13" authorId="0">
      <x:text>
        <x:r>
          <x:t>来源：V8.2 BOM E05
https://www.hipnuc.com/hi13.html
原规格说明：俯视名义原点在机体中心；安装后标定轴向。</x:t>
        </x:r>
      </x:text>
    </x:comment>
    <x:comment ref="C14" authorId="0">
      <x:text>
        <x:r>
          <x:t>来源：V8.2 BOM E06
source/display/显示器规格书.pdf，第2页
原规格说明：采用外壳托夹；供应商未给5寸安装孔。200g为质量估计。</x:t>
        </x:r>
      </x:text>
    </x:comment>
    <x:comment ref="C15" authorId="0">
      <x:text>
        <x:r>
          <x:t>来源：V8.2 BOM E07
source/battery/WHEELTEC_battery_user_drawing.png；source/battery/WHEELTEC_24V_manual.pdf
原规格说明：用户确认选E626S；官方337g/22.2V/2550mAh/6A持续/13A瞬时。337g是否含底座未明，安装仍按400g预算。DC5.5-2.1充放共口，插头及脉冲时长需复核。</x:t>
        </x:r>
      </x:text>
    </x:comment>
    <x:comment ref="C16" authorId="0">
      <x:text>
        <x:r>
          <x:t>来源：V8.2 BOM E09
用户开关尺寸图
原规格说明：自锁型已确认；包含开关自带安装螺母、插接座及随件线，不重复计标准螺母。直流分断和LED电压待核实。 工程质量预算35 g；未实测，不是厂家质量规格。</x:t>
        </x:r>
      </x:text>
    </x:comment>
    <x:comment ref="C17" authorId="0">
      <x:text>
        <x:r>
          <x:t>来源：V8.2 BOM E10
用户扩展坞尺寸图
原规格说明：四口向背部露出；接口速率、供电限制、型号待确认。上行线随件，不单独重复计。 工程质量预算60 g；未实测，不是厂家质量规格。</x:t>
        </x:r>
      </x:text>
    </x:comment>
    <x:comment ref="C18" authorId="0">
      <x:text>
        <x:r>
          <x:t>来源：V8.2 BOM E11
达妙USB2CANFD_Dual原始STEP及说明书V1.0
原规格说明：壳体、原壳螺钉和导光柱不装入机器人；USB Type-C供电+数据，GH1.25 2P仅CAN。裸板可独立采购或由整机模块拆得，不双计。 工程质量预算18 g；未实测，不是厂家质量规格。</x:t>
        </x:r>
      </x:text>
    </x:comment>
    <x:comment ref="C19" authorId="0">
      <x:text>
        <x:r>
          <x:t>来源：V8.2 BOM E12
用户STEP，2026-09-28
原规格说明：仅外形和孔位已建模；原理图、铜厚、网络、正负极及载流量未核实。板上连接器计入总成。 工程质量预算18 g；未实测，不是厂家质量规格。</x:t>
        </x:r>
      </x:text>
    </x:comment>
    <x:comment ref="C20" authorId="0">
      <x:text>
        <x:r>
          <x:t>来源：V8.2 BOM E13
用户DC/DC尺寸图
原规格说明：按图示包络安装；功率、电流、输入范围、低压行为、耳片厚度均需实物核验。随件130 mm引线计入总成。 工程质量预算65 g；未实测，不是厂家质量规格。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25323D"/>
      <x:name val="Arial"/>
    </x:font>
    <x:font>
      <x:b/>
      <x:sz val="16"/>
      <x:color rgb="FF223E52"/>
      <x:name val="Arial"/>
    </x:font>
    <x:font>
      <x:sz val="11"/>
      <x:color rgb="FF4E5E69"/>
      <x:name val="Arial"/>
    </x:font>
    <x:font>
      <x:sz val="10"/>
      <x:color rgb="FF5E6B75"/>
      <x:name val="Arial"/>
    </x:font>
    <x:font>
      <x:b/>
      <x:sz val="11"/>
      <x:color rgb="FFFFFFFF"/>
      <x:name val="Arial"/>
    </x:font>
    <x:font>
      <x:b/>
      <x:sz val="11"/>
      <x:color rgb="FF294459"/>
      <x:name val="Arial"/>
    </x:font>
    <x:font>
      <x:sz val="11"/>
      <x:color rgb="FF445561"/>
      <x:name val="Arial"/>
    </x:font>
    <x:font>
      <x:b/>
      <x:sz val="12"/>
      <x:color rgb="FF29445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459"/>
      </x:patternFill>
    </x:fill>
    <x:fill>
      <x:patternFill patternType="solid">
        <x:fgColor rgb="FFFFF0BE"/>
      </x:patternFill>
    </x:fill>
  </x:fills>
  <x:borders count="5">
    <x:border/>
    <x:border>
      <x:bottom style="thin">
        <x:color rgb="FFA6B4B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0"/>
    </x:xf>
    <x:xf numFmtId="0" fontId="8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8A5C1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4a94f65214ac9" /><Relationship Type="http://schemas.openxmlformats.org/officeDocument/2006/relationships/theme" Target="/xl/theme/theme1.xml" Id="R6ba0cf7502ae4074" /><Relationship Type="http://schemas.openxmlformats.org/officeDocument/2006/relationships/sharedStrings" Target="/xl/sharedStrings.xml" Id="R045364a86dd84aaf" /><Relationship Type="http://schemas.openxmlformats.org/officeDocument/2006/relationships/worksheet" Target="/xl/worksheets/sheet1.xml" Id="Rf00f6b34366e4f5b" /><Relationship Type="http://schemas.openxmlformats.org/officeDocument/2006/relationships/worksheet" Target="/xl/worksheets/sheet2.xml" Id="R1c5c5cac44894f3f" /><Relationship Type="http://schemas.openxmlformats.org/officeDocument/2006/relationships/worksheet" Target="/xl/worksheets/sheet3.xml" Id="R12acc736a7d14026" /></Relationships>
</file>

<file path=xl/tables/table1.xml><?xml version="1.0" encoding="utf-8"?>
<x:table xmlns:x="http://schemas.openxmlformats.org/spreadsheetml/2006/main" id="1" name="TrialStandardParts" displayName="TrialStandardParts" ref="A8:I31" headerRowCount="1" totalsRowCount="0" totalsRowShown="0">
  <x:autoFilter ref="A8:I31"/>
  <x:tableColumns count="9">
    <x:tableColumn id="1" name="ID"/>
    <x:tableColumn id="2" name="零件"/>
    <x:tableColumn id="3" name="采购规格"/>
    <x:tableColumn id="4" name="材料/等级"/>
    <x:tableColumn id="5" name="需求/件"/>
    <x:tableColumn id="6" name="在手/件"/>
    <x:tableColumn id="7" name="备件/件"/>
    <x:tableColumn id="8" name="需购买/件"/>
    <x:tableColumn id="9" name="使用模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ialPendingParts" displayName="TrialPendingParts" ref="A8:I18" headerRowCount="1" totalsRowCount="0" totalsRowShown="0">
  <x:autoFilter ref="A8:I18"/>
  <x:tableColumns count="9">
    <x:tableColumn id="1" name="ID"/>
    <x:tableColumn id="2" name="物料"/>
    <x:tableColumn id="3" name="规格或已知尺寸"/>
    <x:tableColumn id="4" name="本阶段安排"/>
    <x:tableColumn id="5" name="需求"/>
    <x:tableColumn id="6" name="在手"/>
    <x:tableColumn id="7" name="备件"/>
    <x:tableColumn id="8" name="待补数量"/>
    <x:tableColumn id="9" name="核实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alOwnedEquipment" displayName="TrialOwnedEquipment" ref="A8:I20" headerRowCount="1" totalsRowCount="0" totalsRowShown="0">
  <x:autoFilter ref="A8:I20"/>
  <x:tableColumns count="9">
    <x:tableColumn id="1" name="ID"/>
    <x:tableColumn id="2" name="设备"/>
    <x:tableColumn id="3" name="型号与安装包络"/>
    <x:tableColumn id="4" name="在手状态"/>
    <x:tableColumn id="5" name="整机需求"/>
    <x:tableColumn id="6" name="单位"/>
    <x:tableColumn id="7" name="本次采购"/>
    <x:tableColumn id="8" name="核对结果"/>
    <x:tableColumn id="9" name="模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94b4f2b33764215" /><Relationship Type="http://schemas.openxmlformats.org/officeDocument/2006/relationships/vmlDrawing" Target="/xl/drawings/vmldrawing.vml" Id="R8743fb01f25e44bc" /><Relationship Type="http://schemas.openxmlformats.org/officeDocument/2006/relationships/table" Target="/xl/tables/table1.xml" Id="Rb9e0268e27eb43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31ec91b49d7436f" /><Relationship Type="http://schemas.openxmlformats.org/officeDocument/2006/relationships/vmlDrawing" Target="/xl/drawings/vmldrawing2.vml" Id="Re32e09c2d4814c03" /><Relationship Type="http://schemas.openxmlformats.org/officeDocument/2006/relationships/table" Target="/xl/tables/table2.xml" Id="R056f774e825548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7a5ea10782a44862" /><Relationship Type="http://schemas.openxmlformats.org/officeDocument/2006/relationships/vmlDrawing" Target="/xl/drawings/vmldrawing3.vml" Id="R8cdcbe59e7da41c2" /><Relationship Type="http://schemas.openxmlformats.org/officeDocument/2006/relationships/table" Target="/xl/tables/table3.xml" Id="R8a90201b34374b64" /></Relationships>
</file>

<file path=xl/worksheets/sheet1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26" hidden="0" customWidth="1"/>
    <x:col min="3" max="3" width="48" hidden="0" customWidth="1"/>
    <x:col min="4" max="4" width="23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24" hidden="0" customWidth="1"/>
    <x:col min="11" max="11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V8.3 打印试装标准件采购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5" t="str">
        <x:v>定制结构件全部由打印包提供；这里只采购真实螺钉、螺母、垫圈、销和轴承。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 t="str">
        <x:v>需求总件数</x:v>
      </x:c>
      <x:c r="F5" s="2" t="n">
        <x:v>274</x:v>
      </x:c>
      <x:c r="G5" s="2" t="str">
        <x:v>需购总件数</x:v>
      </x:c>
      <x:c r="H5" s="2" t="n">
        <x:f>IF(COUNT(H9:H31)=23,SUM(H9:H31),"待核实")</x:f>
        <x:v>274</x:v>
      </x:c>
      <x:c r="I5" s="2" t="str">
        <x:v>23 类</x:v>
      </x:c>
    </x:row>
    <x:row r="6">
      <x:c r="A6" s="6" t="str">
        <x:v>来源：V8.2 完整 BOM；本次按单台、断电机械试装整理。</x:v>
      </x:c>
      <x:c r="B6" s="2"/>
      <x:c r="C6" s="2"/>
      <x:c r="D6" s="2"/>
      <x:c r="E6" s="2"/>
      <x:c r="F6" s="2"/>
      <x:c r="G6" s="2"/>
      <x:c r="H6" s="2"/>
      <x:c r="I6" s="2"/>
    </x:row>
    <x:row r="7">
      <x:c r="A7" s="6" t="str">
        <x:v>黄色为可编辑数量，空白表示尚未核实。件数不等于采购包装数。</x:v>
      </x:c>
      <x:c r="B7" s="2"/>
      <x:c r="C7" s="2"/>
      <x:c r="D7" s="2"/>
      <x:c r="E7" s="2"/>
      <x:c r="F7" s="2"/>
      <x:c r="G7" s="2"/>
      <x:c r="H7" s="2"/>
      <x:c r="I7" s="2"/>
    </x:row>
    <x:row r="8" ht="28" customHeight="1">
      <x:c r="A8" s="12" t="str">
        <x:v>ID</x:v>
      </x:c>
      <x:c r="B8" s="13" t="str">
        <x:v>零件</x:v>
      </x:c>
      <x:c r="C8" s="13" t="str">
        <x:v>采购规格</x:v>
      </x:c>
      <x:c r="D8" s="13" t="str">
        <x:v>材料/等级</x:v>
      </x:c>
      <x:c r="E8" s="13" t="str">
        <x:v>需求/件</x:v>
      </x:c>
      <x:c r="F8" s="13" t="str">
        <x:v>在手/件</x:v>
      </x:c>
      <x:c r="G8" s="13" t="str">
        <x:v>备件/件</x:v>
      </x:c>
      <x:c r="H8" s="13" t="str">
        <x:v>需购买/件</x:v>
      </x:c>
      <x:c r="I8" s="14" t="str">
        <x:v>使用模块</x:v>
      </x:c>
      <x:c r="K8" s="19" t="str">
        <x:v>装配与采购注意</x:v>
      </x:c>
    </x:row>
    <x:row r="9" ht="53" customHeight="1">
      <x:c r="A9" s="15" t="str">
        <x:v>LH01</x:v>
      </x:c>
      <x:c r="B9" s="15" t="str">
        <x:v>内六角圆柱头螺钉</x:v>
      </x:c>
      <x:c r="C9" s="15" t="str">
        <x:v>ISO4762 M3×8</x:v>
      </x:c>
      <x:c r="D9" s="15" t="str">
        <x:v>钢8.8；发黑</x:v>
      </x:c>
      <x:c r="E9" s="18" t="n">
        <x:v>46</x:v>
      </x:c>
      <x:c r="F9" s="17" t="n">
        <x:v>0</x:v>
      </x:c>
      <x:c r="G9" s="17" t="n">
        <x:v>0</x:v>
      </x:c>
      <x:c r="H9" s="18" t="n">
        <x:f>IF(AND(ISNUMBER(F9),ISNUMBER(G9)),MAX(0,E9+G9-F9),"待核实")</x:f>
        <x:v>46</x:v>
      </x:c>
      <x:c r="I9" s="15" t="str">
        <x:v>M01、M02、M04、M05、M07</x:v>
      </x:c>
      <x:c r="K9" s="21" t="str">
        <x:v>同规格合并，含轮辋 12 枚；按实际安装位置分装。</x:v>
      </x:c>
    </x:row>
    <x:row r="10" ht="53" customHeight="1">
      <x:c r="A10" s="15" t="str">
        <x:v>LH02</x:v>
      </x:c>
      <x:c r="B10" s="15" t="str">
        <x:v>内六角圆柱头螺钉</x:v>
      </x:c>
      <x:c r="C10" s="15" t="str">
        <x:v>ISO4762 M3×16</x:v>
      </x:c>
      <x:c r="D10" s="15" t="str">
        <x:v>钢8.8；发黑</x:v>
      </x:c>
      <x:c r="E10" s="18" t="n">
        <x:v>14</x:v>
      </x:c>
      <x:c r="F10" s="17" t="n">
        <x:v>0</x:v>
      </x:c>
      <x:c r="G10" s="17" t="n">
        <x:v>0</x:v>
      </x:c>
      <x:c r="H10" s="18" t="n">
        <x:f>IF(AND(ISNUMBER(F10),ISNUMBER(G10)),MAX(0,E10+G10-F10),"待核实")</x:f>
        <x:v>14</x:v>
      </x:c>
      <x:c r="I10" s="15" t="str">
        <x:v>M01、M02、M06</x:v>
      </x:c>
      <x:c r="K10" s="21" t="str">
        <x:v>OA 到转子需此长度；不可换 M3×8。</x:v>
      </x:c>
    </x:row>
    <x:row r="11" ht="53" customHeight="1">
      <x:c r="A11" s="15" t="str">
        <x:v>LH03</x:v>
      </x:c>
      <x:c r="B11" s="15" t="str">
        <x:v>低头小头螺钉</x:v>
      </x:c>
      <x:c r="C11" s="15" t="str">
        <x:v>NBK SLH-M3-6-SD；头Ø4.5×2，内六角2</x:v>
      </x:c>
      <x:c r="D11" s="15" t="str">
        <x:v>SWCH45K；8.8；发黑</x:v>
      </x:c>
      <x:c r="E11" s="18" t="n">
        <x:v>20</x:v>
      </x:c>
      <x:c r="F11" s="17" t="n">
        <x:v>0</x:v>
      </x:c>
      <x:c r="G11" s="17" t="n">
        <x:v>0</x:v>
      </x:c>
      <x:c r="H11" s="18" t="n">
        <x:f>IF(AND(ISNUMBER(F11),ISNUMBER(G11)),MAX(0,E11+G11-F11),"待核实")</x:f>
        <x:v>20</x:v>
      </x:c>
      <x:c r="I11" s="15" t="str">
        <x:v>M01、M02</x:v>
      </x:c>
      <x:c r="K11" s="21" t="str">
        <x:v>必须小头 Ø4.5×2；普通 M3 圆柱头不适配。</x:v>
      </x:c>
    </x:row>
    <x:row r="12" ht="53" customHeight="1">
      <x:c r="A12" s="15" t="str">
        <x:v>LH04</x:v>
      </x:c>
      <x:c r="B12" s="15" t="str">
        <x:v>低头小头螺钉</x:v>
      </x:c>
      <x:c r="C12" s="15" t="str">
        <x:v>NBK SLH-M3-8-SD；头Ø4.5×2，内六角2</x:v>
      </x:c>
      <x:c r="D12" s="15" t="str">
        <x:v>SWCH45K；8.8；发黑</x:v>
      </x:c>
      <x:c r="E12" s="18" t="n">
        <x:v>8</x:v>
      </x:c>
      <x:c r="F12" s="17" t="n">
        <x:v>0</x:v>
      </x:c>
      <x:c r="G12" s="17" t="n">
        <x:v>0</x:v>
      </x:c>
      <x:c r="H12" s="18" t="n">
        <x:f>IF(AND(ISNUMBER(F12),ISNUMBER(G12)),MAX(0,E12+G12-F12),"待核实")</x:f>
        <x:v>8</x:v>
      </x:c>
      <x:c r="I12" s="15" t="str">
        <x:v>M01、M02</x:v>
      </x:c>
      <x:c r="K12" s="21" t="str">
        <x:v>法兰侧锁紧；必须小头 Ø4.5×2。</x:v>
      </x:c>
    </x:row>
    <x:row r="13" ht="53" customHeight="1">
      <x:c r="A13" s="15" t="str">
        <x:v>LH05</x:v>
      </x:c>
      <x:c r="B13" s="15" t="str">
        <x:v>超薄头内六角花形螺钉</x:v>
      </x:c>
      <x:c r="C13" s="15" t="str">
        <x:v>NBK SETS-M2-4；头Ø4×0.5，TX4</x:v>
      </x:c>
      <x:c r="D13" s="15" t="str">
        <x:v>SUSXM7；A2；原厂本色</x:v>
      </x:c>
      <x:c r="E13" s="18" t="n">
        <x:v>30</x:v>
      </x:c>
      <x:c r="F13" s="17" t="n">
        <x:v>0</x:v>
      </x:c>
      <x:c r="G13" s="17" t="n">
        <x:v>0</x:v>
      </x:c>
      <x:c r="H13" s="18" t="n">
        <x:f>IF(AND(ISNUMBER(F13),ISNUMBER(G13)),MAX(0,E13+G13-F13),"待核实")</x:f>
        <x:v>30</x:v>
      </x:c>
      <x:c r="I13" s="15" t="str">
        <x:v>M01、M02</x:v>
      </x:c>
      <x:c r="K13" s="21" t="str">
        <x:v>轴承压盖 18 枚、轴销防脱 12 枚；TX4 工具。</x:v>
      </x:c>
    </x:row>
    <x:row r="14" ht="53" customHeight="1">
      <x:c r="A14" s="15" t="str">
        <x:v>LH06</x:v>
      </x:c>
      <x:c r="B14" s="15" t="str">
        <x:v>沉头内六角螺钉</x:v>
      </x:c>
      <x:c r="C14" s="15" t="str">
        <x:v>DIN7991 M3×10；头≤Ø6×1.7，90°，内六角2</x:v>
      </x:c>
      <x:c r="D14" s="15" t="str">
        <x:v>钢010.9；发黑</x:v>
      </x:c>
      <x:c r="E14" s="18" t="n">
        <x:v>8</x:v>
      </x:c>
      <x:c r="F14" s="17" t="n">
        <x:v>0</x:v>
      </x:c>
      <x:c r="G14" s="17" t="n">
        <x:v>0</x:v>
      </x:c>
      <x:c r="H14" s="18" t="n">
        <x:f>IF(AND(ISNUMBER(F14),ISNUMBER(G14)),MAX(0,E14+G14-F14),"待核实")</x:f>
        <x:v>8</x:v>
      </x:c>
      <x:c r="I14" s="15" t="str">
        <x:v>M01、M02</x:v>
      </x:c>
      <x:c r="K14" s="21" t="str">
        <x:v>头 Ø6×1.7；不能直接换大头 ISO10642。</x:v>
      </x:c>
    </x:row>
    <x:row r="15" ht="53" customHeight="1">
      <x:c r="A15" s="15" t="str">
        <x:v>LH07</x:v>
      </x:c>
      <x:c r="B15" s="15" t="str">
        <x:v>沉头内六角螺钉</x:v>
      </x:c>
      <x:c r="C15" s="15" t="str">
        <x:v>DIN7991 M3×6；头≤Ø6×1.7，90°，内六角2</x:v>
      </x:c>
      <x:c r="D15" s="15" t="str">
        <x:v>钢010.9；发黑</x:v>
      </x:c>
      <x:c r="E15" s="18" t="n">
        <x:v>12</x:v>
      </x:c>
      <x:c r="F15" s="17" t="n">
        <x:v>0</x:v>
      </x:c>
      <x:c r="G15" s="17" t="n">
        <x:v>0</x:v>
      </x:c>
      <x:c r="H15" s="18" t="n">
        <x:f>IF(AND(ISNUMBER(F15),ISNUMBER(G15)),MAX(0,E15+G15-F15),"待核实")</x:f>
        <x:v>12</x:v>
      </x:c>
      <x:c r="I15" s="15" t="str">
        <x:v>M01、M02</x:v>
      </x:c>
      <x:c r="K15" s="21" t="str">
        <x:v>头 Ø6×1.7；用于髋电机定子。</x:v>
      </x:c>
    </x:row>
    <x:row r="16" ht="53" customHeight="1">
      <x:c r="A16" s="15" t="str">
        <x:v>LH08</x:v>
      </x:c>
      <x:c r="B16" s="15" t="str">
        <x:v>沉头内六角螺钉</x:v>
      </x:c>
      <x:c r="C16" s="15" t="str">
        <x:v>DIN7991 M4×12；头≤Ø8×2.3，90°，内六角2.5</x:v>
      </x:c>
      <x:c r="D16" s="15" t="str">
        <x:v>钢010.9；发黑</x:v>
      </x:c>
      <x:c r="E16" s="18" t="n">
        <x:v>8</x:v>
      </x:c>
      <x:c r="F16" s="17" t="n">
        <x:v>0</x:v>
      </x:c>
      <x:c r="G16" s="17" t="n">
        <x:v>0</x:v>
      </x:c>
      <x:c r="H16" s="18" t="n">
        <x:f>IF(AND(ISNUMBER(F16),ISNUMBER(G16)),MAX(0,E16+G16-F16),"待核实")</x:f>
        <x:v>8</x:v>
      </x:c>
      <x:c r="I16" s="15" t="str">
        <x:v>M01、M02</x:v>
      </x:c>
      <x:c r="K16" s="21" t="str">
        <x:v>头 Ø8×2.3；每腿 4 枚，勿重复计机身。</x:v>
      </x:c>
    </x:row>
    <x:row r="17" ht="53" customHeight="1">
      <x:c r="A17" s="15" t="str">
        <x:v>LH09</x:v>
      </x:c>
      <x:c r="B17" s="15" t="str">
        <x:v>普通平垫圈</x:v>
      </x:c>
      <x:c r="C17" s="15" t="str">
        <x:v>ISO7089 M4；Ø4.3/Ø9×0.8</x:v>
      </x:c>
      <x:c r="D17" s="15" t="str">
        <x:v>钢200HV；镀锌</x:v>
      </x:c>
      <x:c r="E17" s="18" t="n">
        <x:v>8</x:v>
      </x:c>
      <x:c r="F17" s="17" t="n">
        <x:v>0</x:v>
      </x:c>
      <x:c r="G17" s="17" t="n">
        <x:v>0</x:v>
      </x:c>
      <x:c r="H17" s="18" t="n">
        <x:f>IF(AND(ISNUMBER(F17),ISNUMBER(G17)),MAX(0,E17+G17-F17),"待核实")</x:f>
        <x:v>8</x:v>
      </x:c>
      <x:c r="I17" s="15" t="str">
        <x:v>M03</x:v>
      </x:c>
      <x:c r="K17" s="21" t="str">
        <x:v>每个 M4 接口一片，维持原厚度。</x:v>
      </x:c>
    </x:row>
    <x:row r="18" ht="53" customHeight="1">
      <x:c r="A18" s="15" t="str">
        <x:v>LH10</x:v>
      </x:c>
      <x:c r="B18" s="15" t="str">
        <x:v>六角螺母</x:v>
      </x:c>
      <x:c r="C18" s="15" t="str">
        <x:v>ISO4032 M4；AF7×3.2</x:v>
      </x:c>
      <x:c r="D18" s="15" t="str">
        <x:v>钢8级；镀锌</x:v>
      </x:c>
      <x:c r="E18" s="18" t="n">
        <x:v>8</x:v>
      </x:c>
      <x:c r="F18" s="17" t="n">
        <x:v>0</x:v>
      </x:c>
      <x:c r="G18" s="17" t="n">
        <x:v>0</x:v>
      </x:c>
      <x:c r="H18" s="18" t="n">
        <x:f>IF(AND(ISNUMBER(F18),ISNUMBER(G18)),MAX(0,E18+G18-F18),"待核实")</x:f>
        <x:v>8</x:v>
      </x:c>
      <x:c r="I18" s="15" t="str">
        <x:v>M03</x:v>
      </x:c>
      <x:c r="K18" s="21" t="str">
        <x:v>配 M4 沉头螺钉，不换高型防松螺母。</x:v>
      </x:c>
    </x:row>
    <x:row r="19" ht="53" customHeight="1">
      <x:c r="A19" s="15" t="str">
        <x:v>LH11</x:v>
      </x:c>
      <x:c r="B19" s="15" t="str">
        <x:v>定位圆柱销</x:v>
      </x:c>
      <x:c r="C19" s="15" t="str">
        <x:v>DIN6325 Ø4m6×10（Norelem03320-04X10）</x:v>
      </x:c>
      <x:c r="D19" s="15" t="str">
        <x:v>工具钢；淬硬磨削60±2HRC；本色</x:v>
      </x:c>
      <x:c r="E19" s="18" t="n">
        <x:v>6</x:v>
      </x:c>
      <x:c r="F19" s="17" t="n">
        <x:v>0</x:v>
      </x:c>
      <x:c r="G19" s="17" t="n">
        <x:v>0</x:v>
      </x:c>
      <x:c r="H19" s="18" t="n">
        <x:f>IF(AND(ISNUMBER(F19),ISNUMBER(G19)),MAX(0,E19+G19-F19),"待核实")</x:f>
        <x:v>6</x:v>
      </x:c>
      <x:c r="I19" s="15" t="str">
        <x:v>M01、M02</x:v>
      </x:c>
      <x:c r="K19" s="21" t="str">
        <x:v>每髋 3 枚；打印孔清孔后轻装，禁止强压。</x:v>
      </x:c>
    </x:row>
    <x:row r="20" ht="53" customHeight="1">
      <x:c r="A20" s="15" t="str">
        <x:v>LH12</x:v>
      </x:c>
      <x:c r="B20" s="15" t="str">
        <x:v>深沟球轴承</x:v>
      </x:c>
      <x:c r="C20" s="15" t="str">
        <x:v>NSK626ZZ1；6×19×6；金属防尘盖</x:v>
      </x:c>
      <x:c r="D20" s="15" t="str">
        <x:v>原厂轴承钢</x:v>
      </x:c>
      <x:c r="E20" s="18" t="n">
        <x:v>6</x:v>
      </x:c>
      <x:c r="F20" s="17" t="n">
        <x:v>0</x:v>
      </x:c>
      <x:c r="G20" s="17" t="n">
        <x:v>0</x:v>
      </x:c>
      <x:c r="H20" s="18" t="n">
        <x:f>IF(AND(ISNUMBER(F20),ISNUMBER(G20)),MAX(0,E20+G20-F20),"待核实")</x:f>
        <x:v>6</x:v>
      </x:c>
      <x:c r="I20" s="15" t="str">
        <x:v>M01、M02</x:v>
      </x:c>
      <x:c r="K20" s="21" t="str">
        <x:v>A/B/C 各 1 个/腿；不要换 C3/MC3 游隙。</x:v>
      </x:c>
    </x:row>
    <x:row r="21" ht="53" customHeight="1">
      <x:c r="A21" s="15" t="str">
        <x:v>BH01</x:v>
      </x:c>
      <x:c r="B21" s="15" t="str">
        <x:v>沉头内六角螺钉</x:v>
      </x:c>
      <x:c r="C21" s="15" t="str">
        <x:v>DIN7991 M3x0.5 x 8</x:v>
      </x:c>
      <x:c r="D21" s="15" t="str">
        <x:v>钢010.9；发黑</x:v>
      </x:c>
      <x:c r="E21" s="18" t="n">
        <x:v>16</x:v>
      </x:c>
      <x:c r="F21" s="17" t="n">
        <x:v>0</x:v>
      </x:c>
      <x:c r="G21" s="17" t="n">
        <x:v>0</x:v>
      </x:c>
      <x:c r="H21" s="18" t="n">
        <x:f>IF(AND(ISNUMBER(F21),ISNUMBER(G21)),MAX(0,E21+G21-F21),"待核实")</x:f>
        <x:v>16</x:v>
      </x:c>
      <x:c r="I21" s="15" t="str">
        <x:v>M03</x:v>
      </x:c>
      <x:c r="K21" s="21" t="str">
        <x:v>头 Ø6×1.7，90°；不要直接换大头 ISO10642。</x:v>
      </x:c>
    </x:row>
    <x:row r="22" ht="53" customHeight="1">
      <x:c r="A22" s="15" t="str">
        <x:v>BH03</x:v>
      </x:c>
      <x:c r="B22" s="15" t="str">
        <x:v>内六角圆柱头螺钉</x:v>
      </x:c>
      <x:c r="C22" s="15" t="str">
        <x:v>ISO4762 M3x0.5 x 10</x:v>
      </x:c>
      <x:c r="D22" s="15" t="str">
        <x:v>钢8.8；发黑</x:v>
      </x:c>
      <x:c r="E22" s="18" t="n">
        <x:v>10</x:v>
      </x:c>
      <x:c r="F22" s="17" t="n">
        <x:v>0</x:v>
      </x:c>
      <x:c r="G22" s="17" t="n">
        <x:v>0</x:v>
      </x:c>
      <x:c r="H22" s="18" t="n">
        <x:f>IF(AND(ISNUMBER(F22),ISNUMBER(G22)),MAX(0,E22+G22-F22),"待核实")</x:f>
        <x:v>10</x:v>
      </x:c>
      <x:c r="I22" s="15" t="str">
        <x:v>M04、M05、M06</x:v>
      </x:c>
      <x:c r="K22" s="21" t="str">
        <x:v>含后充电安装板紧固件。</x:v>
      </x:c>
    </x:row>
    <x:row r="23" ht="53" customHeight="1">
      <x:c r="A23" s="15" t="str">
        <x:v>BH04</x:v>
      </x:c>
      <x:c r="B23" s="15" t="str">
        <x:v>内六角圆柱头螺钉</x:v>
      </x:c>
      <x:c r="C23" s="15" t="str">
        <x:v>ISO4762 M3x0.5 x 12</x:v>
      </x:c>
      <x:c r="D23" s="15" t="str">
        <x:v>钢8.8；发黑</x:v>
      </x:c>
      <x:c r="E23" s="18" t="n">
        <x:v>16</x:v>
      </x:c>
      <x:c r="F23" s="17" t="n">
        <x:v>0</x:v>
      </x:c>
      <x:c r="G23" s="17" t="n">
        <x:v>0</x:v>
      </x:c>
      <x:c r="H23" s="18" t="n">
        <x:f>IF(AND(ISNUMBER(F23),ISNUMBER(G23)),MAX(0,E23+G23-F23),"待核实")</x:f>
        <x:v>16</x:v>
      </x:c>
      <x:c r="I23" s="15" t="str">
        <x:v>M05、M06、M07</x:v>
      </x:c>
      <x:c r="K23" s="21" t="str">
        <x:v>含电气安装架到托盘的紧固件。</x:v>
      </x:c>
    </x:row>
    <x:row r="24" ht="53" customHeight="1">
      <x:c r="A24" s="15" t="str">
        <x:v>BH05</x:v>
      </x:c>
      <x:c r="B24" s="15" t="str">
        <x:v>内六角圆柱头螺钉</x:v>
      </x:c>
      <x:c r="C24" s="15" t="str">
        <x:v>ISO4762 M3x0.5 x 20</x:v>
      </x:c>
      <x:c r="D24" s="15" t="str">
        <x:v>钢8.8；发黑</x:v>
      </x:c>
      <x:c r="E24" s="18" t="n">
        <x:v>8</x:v>
      </x:c>
      <x:c r="F24" s="17" t="n">
        <x:v>0</x:v>
      </x:c>
      <x:c r="G24" s="17" t="n">
        <x:v>0</x:v>
      </x:c>
      <x:c r="H24" s="18" t="n">
        <x:f>IF(AND(ISNUMBER(F24),ISNUMBER(G24)),MAX(0,E24+G24-F24),"待核实")</x:f>
        <x:v>8</x:v>
      </x:c>
      <x:c r="I24" s="15" t="str">
        <x:v>M05、M06</x:v>
      </x:c>
      <x:c r="K24" s="21" t="str">
        <x:v>显示器托夹及机壳连接。</x:v>
      </x:c>
    </x:row>
    <x:row r="25" ht="53" customHeight="1">
      <x:c r="A25" s="15" t="str">
        <x:v>BH06</x:v>
      </x:c>
      <x:c r="B25" s="15" t="str">
        <x:v>内六角圆柱头螺钉</x:v>
      </x:c>
      <x:c r="C25" s="15" t="str">
        <x:v>ISO4762 M2.5x0.45 x 16</x:v>
      </x:c>
      <x:c r="D25" s="15" t="str">
        <x:v>钢8.8；发黑</x:v>
      </x:c>
      <x:c r="E25" s="18" t="n">
        <x:v>2</x:v>
      </x:c>
      <x:c r="F25" s="17" t="n">
        <x:v>0</x:v>
      </x:c>
      <x:c r="G25" s="17" t="n">
        <x:v>0</x:v>
      </x:c>
      <x:c r="H25" s="18" t="n">
        <x:f>IF(AND(ISNUMBER(F25),ISNUMBER(G25)),MAX(0,E25+G25-F25),"待核实")</x:f>
        <x:v>2</x:v>
      </x:c>
      <x:c r="I25" s="15" t="str">
        <x:v>M04</x:v>
      </x:c>
      <x:c r="K25" s="21" t="str">
        <x:v>光头外径 ≤4.5、高 ≤2.5，内六角 2。</x:v>
      </x:c>
    </x:row>
    <x:row r="26" ht="53" customHeight="1">
      <x:c r="A26" s="15" t="str">
        <x:v>BH07</x:v>
      </x:c>
      <x:c r="B26" s="15" t="str">
        <x:v>六角螺母</x:v>
      </x:c>
      <x:c r="C26" s="15" t="str">
        <x:v>ISO4032 M3x0.5; AF5.5 x t2.4</x:v>
      </x:c>
      <x:c r="D26" s="15" t="str">
        <x:v>钢8；镀锌</x:v>
      </x:c>
      <x:c r="E26" s="18" t="n">
        <x:v>26</x:v>
      </x:c>
      <x:c r="F26" s="17" t="n">
        <x:v>0</x:v>
      </x:c>
      <x:c r="G26" s="17" t="n">
        <x:v>0</x:v>
      </x:c>
      <x:c r="H26" s="18" t="n">
        <x:f>IF(AND(ISNUMBER(F26),ISNUMBER(G26)),MAX(0,E26+G26-F26),"待核实")</x:f>
        <x:v>26</x:v>
      </x:c>
      <x:c r="I26" s="15" t="str">
        <x:v>M04、M05、M06、M07</x:v>
      </x:c>
      <x:c r="K26" s="21" t="str">
        <x:v>AF5.5、厚 ≤2.4；不换高型尼龙防松螺母。</x:v>
      </x:c>
    </x:row>
    <x:row r="27" ht="53" customHeight="1">
      <x:c r="A27" s="15" t="str">
        <x:v>BH08</x:v>
      </x:c>
      <x:c r="B27" s="15" t="str">
        <x:v>六角螺母</x:v>
      </x:c>
      <x:c r="C27" s="15" t="str">
        <x:v>ISO4032 M2.5x0.45; AF5 x t2</x:v>
      </x:c>
      <x:c r="D27" s="15" t="str">
        <x:v>钢8；镀锌</x:v>
      </x:c>
      <x:c r="E27" s="18" t="n">
        <x:v>6</x:v>
      </x:c>
      <x:c r="F27" s="17" t="n">
        <x:v>0</x:v>
      </x:c>
      <x:c r="G27" s="17" t="n">
        <x:v>0</x:v>
      </x:c>
      <x:c r="H27" s="18" t="n">
        <x:f>IF(AND(ISNUMBER(F27),ISNUMBER(G27)),MAX(0,E27+G27-F27),"待核实")</x:f>
        <x:v>6</x:v>
      </x:c>
      <x:c r="I27" s="15" t="str">
        <x:v>M04、M07</x:v>
      </x:c>
      <x:c r="K27" s="21" t="str">
        <x:v>AF5、厚 ≤2；不换高型尼龙防松螺母。</x:v>
      </x:c>
    </x:row>
    <x:row r="28" ht="53" customHeight="1">
      <x:c r="A28" s="15" t="str">
        <x:v>BH09</x:v>
      </x:c>
      <x:c r="B28" s="15" t="str">
        <x:v>普通平垫圈</x:v>
      </x:c>
      <x:c r="C28" s="15" t="str">
        <x:v>ISO7089 M3; ID3.2 x OD7 x t0.5</x:v>
      </x:c>
      <x:c r="D28" s="15" t="str">
        <x:v>钢200 HV；镀锌</x:v>
      </x:c>
      <x:c r="E28" s="18" t="n">
        <x:v>4</x:v>
      </x:c>
      <x:c r="F28" s="17" t="n">
        <x:v>0</x:v>
      </x:c>
      <x:c r="G28" s="17" t="n">
        <x:v>0</x:v>
      </x:c>
      <x:c r="H28" s="18" t="n">
        <x:f>IF(AND(ISNUMBER(F28),ISNUMBER(G28)),MAX(0,E28+G28-F28),"待核实")</x:f>
        <x:v>4</x:v>
      </x:c>
      <x:c r="I28" s="15" t="str">
        <x:v>M04</x:v>
      </x:c>
      <x:c r="K28" s="21" t="str">
        <x:v>4 片为规定分压垫圈，不用于补长度。</x:v>
      </x:c>
    </x:row>
    <x:row r="29" ht="53" customHeight="1">
      <x:c r="A29" s="15" t="str">
        <x:v>EH01</x:v>
      </x:c>
      <x:c r="B29" s="15" t="str">
        <x:v>内六角圆柱头螺钉</x:v>
      </x:c>
      <x:c r="C29" s="15" t="str">
        <x:v>ISO4762 M1.6×10</x:v>
      </x:c>
      <x:c r="D29" s="15" t="str">
        <x:v>钢8.8；发黑</x:v>
      </x:c>
      <x:c r="E29" s="18" t="n">
        <x:v>4</x:v>
      </x:c>
      <x:c r="F29" s="17" t="n">
        <x:v>0</x:v>
      </x:c>
      <x:c r="G29" s="17" t="n">
        <x:v>0</x:v>
      </x:c>
      <x:c r="H29" s="18" t="n">
        <x:f>IF(AND(ISNUMBER(F29),ISNUMBER(G29)),MAX(0,E29+G29-F29),"待核实")</x:f>
        <x:v>4</x:v>
      </x:c>
      <x:c r="I29" s="15" t="str">
        <x:v>M07</x:v>
      </x:c>
      <x:c r="K29" s="21" t="str">
        <x:v>裸板 USB2CAN 用 4 枚，先核对工具空间。</x:v>
      </x:c>
    </x:row>
    <x:row r="30" ht="53" customHeight="1">
      <x:c r="A30" s="15" t="str">
        <x:v>EH02</x:v>
      </x:c>
      <x:c r="B30" s="15" t="str">
        <x:v>六角螺母</x:v>
      </x:c>
      <x:c r="C30" s="15" t="str">
        <x:v>ISO4032 M1.6；AF3.2×1.3</x:v>
      </x:c>
      <x:c r="D30" s="15" t="str">
        <x:v>钢8；镀锌</x:v>
      </x:c>
      <x:c r="E30" s="18" t="n">
        <x:v>4</x:v>
      </x:c>
      <x:c r="F30" s="17" t="n">
        <x:v>0</x:v>
      </x:c>
      <x:c r="G30" s="17" t="n">
        <x:v>0</x:v>
      </x:c>
      <x:c r="H30" s="18" t="n">
        <x:f>IF(AND(ISNUMBER(F30),ISNUMBER(G30)),MAX(0,E30+G30-F30),"待核实")</x:f>
        <x:v>4</x:v>
      </x:c>
      <x:c r="I30" s="15" t="str">
        <x:v>M07</x:v>
      </x:c>
      <x:c r="K30" s="21" t="str">
        <x:v>裸板 USB2CAN 用；AF3.2、厚1.3。</x:v>
      </x:c>
    </x:row>
    <x:row r="31" ht="53" customHeight="1">
      <x:c r="A31" s="15" t="str">
        <x:v>EH03</x:v>
      </x:c>
      <x:c r="B31" s="15" t="str">
        <x:v>内六角圆柱头螺钉</x:v>
      </x:c>
      <x:c r="C31" s="15" t="str">
        <x:v>ISO4762 M2.5×12</x:v>
      </x:c>
      <x:c r="D31" s="15" t="str">
        <x:v>钢8.8；发黑</x:v>
      </x:c>
      <x:c r="E31" s="18" t="n">
        <x:v>4</x:v>
      </x:c>
      <x:c r="F31" s="17" t="n">
        <x:v>0</x:v>
      </x:c>
      <x:c r="G31" s="17" t="n">
        <x:v>0</x:v>
      </x:c>
      <x:c r="H31" s="18" t="n">
        <x:f>IF(AND(ISNUMBER(F31),ISNUMBER(G31)),MAX(0,E31+G31-F31),"待核实")</x:f>
        <x:v>4</x:v>
      </x:c>
      <x:c r="I31" s="15" t="str">
        <x:v>M07</x:v>
      </x:c>
      <x:c r="K31" s="21" t="str">
        <x:v>配电板用；光头外径 ≤4.5。</x:v>
      </x:c>
    </x:row>
  </x:sheetData>
  <x:dataValidations count="2">
    <x:dataValidation type="whole" operator="between" sqref="F9:F31">
      <x:formula1>0</x:formula1>
      <x:formula2>10000</x:formula2>
    </x:dataValidation>
    <x:dataValidation type="whole" operator="between" sqref="G9:G31">
      <x:formula1>0</x:formula1>
      <x:formula2>10000</x:formula2>
    </x:dataValidation>
  </x:dataValidations>
  <x:pageMargins left="0.7" right="0.7" top="0.75" bottom="0.75" header="0.3" footer="0.3"/>
  <x:legacyDrawing xmlns:r="http://schemas.openxmlformats.org/officeDocument/2006/relationships" r:id="R8743fb01f25e44bc"/>
  <x:tableParts count="1">
    <x:tablePart xmlns:r="http://schemas.openxmlformats.org/officeDocument/2006/relationships" r:id="Rb9e0268e27eb43c1"/>
  </x:tableParts>
</x:worksheet>
</file>

<file path=xl/worksheets/sheet2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26" hidden="0" customWidth="1"/>
    <x:col min="3" max="3" width="48" hidden="0" customWidth="1"/>
    <x:col min="4" max="4" width="23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24" hidden="0" customWidth="1"/>
    <x:col min="11" max="11" width="1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其他物料与待选型项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5" t="str">
        <x:v>轮胎和耗材库存尚未确认；未确定规格的项目先核实，不按确定商品下单。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6" t="str">
        <x:v>来源：V8.2 完整 BOM；本次按单台、断电机械试装整理。</x:v>
      </x:c>
      <x:c r="B6" s="2"/>
      <x:c r="C6" s="2"/>
      <x:c r="D6" s="2"/>
      <x:c r="E6" s="2"/>
      <x:c r="F6" s="2"/>
      <x:c r="G6" s="2"/>
      <x:c r="H6" s="2"/>
      <x:c r="I6" s="2"/>
    </x:row>
    <x:row r="7">
      <x:c r="A7" s="6" t="str">
        <x:v>黄色为可编辑数量，空白表示尚未核实。件数不等于采购包装数。</x:v>
      </x:c>
      <x:c r="B7" s="2"/>
      <x:c r="C7" s="2"/>
      <x:c r="D7" s="2"/>
      <x:c r="E7" s="2"/>
      <x:c r="F7" s="2"/>
      <x:c r="G7" s="2"/>
      <x:c r="H7" s="2"/>
      <x:c r="I7" s="2"/>
    </x:row>
    <x:row r="8" ht="28" customHeight="1">
      <x:c r="A8" s="12" t="str">
        <x:v>ID</x:v>
      </x:c>
      <x:c r="B8" s="13" t="str">
        <x:v>物料</x:v>
      </x:c>
      <x:c r="C8" s="13" t="str">
        <x:v>规格或已知尺寸</x:v>
      </x:c>
      <x:c r="D8" s="13" t="str">
        <x:v>本阶段安排</x:v>
      </x:c>
      <x:c r="E8" s="13" t="str">
        <x:v>需求</x:v>
      </x:c>
      <x:c r="F8" s="13" t="str">
        <x:v>在手</x:v>
      </x:c>
      <x:c r="G8" s="13" t="str">
        <x:v>备件</x:v>
      </x:c>
      <x:c r="H8" s="13" t="str">
        <x:v>待补数量</x:v>
      </x:c>
      <x:c r="I8" s="14" t="str">
        <x:v>核实状态</x:v>
      </x:c>
      <x:c r="K8" s="19" t="str">
        <x:v>装配与采购注意</x:v>
      </x:c>
    </x:row>
    <x:row r="9" ht="53" customHeight="1">
      <x:c r="A9" s="15" t="str">
        <x:v>E08</x:v>
      </x:c>
      <x:c r="B9" s="15" t="str">
        <x:v>弹性轮胎</x:v>
      </x:c>
      <x:c r="C9" s="15" t="str">
        <x:v>外径100/内径86/宽32 mm</x:v>
      </x:c>
      <x:c r="D9" s="15" t="str">
        <x:v>按实物试装核实</x:v>
      </x:c>
      <x:c r="E9" s="18" t="n">
        <x:v>2</x:v>
      </x:c>
      <x:c r="F9" s="17"/>
      <x:c r="G9" s="17" t="n">
        <x:v>0</x:v>
      </x:c>
      <x:c r="H9" s="18" t="str">
        <x:f>IF(ISNUMBER(E9),IF(AND(ISNUMBER(F9),ISNUMBER(G9)),MAX(0,E9+G9-F9),"待核实"),"待定")</x:f>
        <x:v>待核实</x:v>
      </x:c>
      <x:c r="I9" s="15" t="str">
        <x:f>IF(ISNUMBER(H9),IF(H9&gt;0,"需补齐数量","数量已齐"),"库存待核实")</x:f>
        <x:v>库存待核实</x:v>
      </x:c>
      <x:c r="K9" s="21" t="str">
        <x:v>仅装配试放可暂缺；要装轮胎时核实在手型号与轮辋匹配。</x:v>
      </x:c>
    </x:row>
    <x:row r="10" ht="53" customHeight="1">
      <x:c r="A10" s="15" t="str">
        <x:v>C01</x:v>
      </x:c>
      <x:c r="B10" s="15" t="str">
        <x:v>屏幕后软垫</x:v>
      </x:c>
      <x:c r="C10" s="15" t="str">
        <x:v>4×8×0.5 mm，4块</x:v>
      </x:c>
      <x:c r="D10" s="15" t="str">
        <x:v>按实物试装核实</x:v>
      </x:c>
      <x:c r="E10" s="18" t="n">
        <x:v>4</x:v>
      </x:c>
      <x:c r="F10" s="17"/>
      <x:c r="G10" s="17" t="n">
        <x:v>0</x:v>
      </x:c>
      <x:c r="H10" s="18" t="str">
        <x:f>IF(ISNUMBER(E10),IF(AND(ISNUMBER(F10),ISNUMBER(G10)),MAX(0,E10+G10-F10),"待核实"),"待定")</x:f>
        <x:v>待核实</x:v>
      </x:c>
      <x:c r="I10" s="15" t="str">
        <x:f>IF(ISNUMBER(H10),IF(H10&gt;0,"需补齐数量","数量已齐"),"库存待核实")</x:f>
        <x:v>库存待核实</x:v>
      </x:c>
      <x:c r="K10" s="21" t="str">
        <x:v>接触显示器金属边框，压缩后厚0.5；不可压玻璃。</x:v>
      </x:c>
    </x:row>
    <x:row r="11" ht="53" customHeight="1">
      <x:c r="A11" s="15" t="str">
        <x:v>C02</x:v>
      </x:c>
      <x:c r="B11" s="15" t="str">
        <x:v>电池束带</x:v>
      </x:c>
      <x:c r="C11" s="15" t="str">
        <x:v>10×300 mm；底部单层厚≤1.0 mm</x:v>
      </x:c>
      <x:c r="D11" s="15" t="str">
        <x:v>按实物试装核实</x:v>
      </x:c>
      <x:c r="E11" s="18" t="n">
        <x:v>2</x:v>
      </x:c>
      <x:c r="F11" s="17"/>
      <x:c r="G11" s="17" t="n">
        <x:v>0</x:v>
      </x:c>
      <x:c r="H11" s="18" t="str">
        <x:f>IF(ISNUMBER(E11),IF(AND(ISNUMBER(F11),ISNUMBER(G11)),MAX(0,E11+G11-F11),"待核实"),"待定")</x:f>
        <x:v>待核实</x:v>
      </x:c>
      <x:c r="I11" s="15" t="str">
        <x:f>IF(ISNUMBER(H11),IF(H11&gt;0,"需补齐数量","数量已齐"),"库存待核实")</x:f>
        <x:v>库存待核实</x:v>
      </x:c>
      <x:c r="K11" s="21" t="str">
        <x:v>用于固定已有电池；厚≤1，搭接与扣头避开 DC 口。</x:v>
      </x:c>
    </x:row>
    <x:row r="12" ht="53" customHeight="1">
      <x:c r="A12" s="15" t="str">
        <x:v>T01</x:v>
      </x:c>
      <x:c r="B12" s="15" t="str">
        <x:v>电源保护与主回路分断器件</x:v>
      </x:c>
      <x:c r="C12" s="15" t="str">
        <x:v>依电气额定值选型，不能由AC开关标称替代</x:v>
      </x:c>
      <x:c r="D12" s="15" t="str">
        <x:v>走线或后续通电</x:v>
      </x:c>
      <x:c r="E12" s="18" t="str">
        <x:v>待定</x:v>
      </x:c>
      <x:c r="F12" s="17"/>
      <x:c r="G12" s="17" t="n">
        <x:v>0</x:v>
      </x:c>
      <x:c r="H12" s="18" t="str">
        <x:f>IF(ISNUMBER(E12),IF(AND(ISNUMBER(F12),ISNUMBER(G12)),MAX(0,E12+G12-F12),"待核实"),"待定")</x:f>
        <x:v>待定</x:v>
      </x:c>
      <x:c r="I12" s="15" t="str">
        <x:v>数量及规格待定</x:v>
      </x:c>
      <x:c r="K12" s="21" t="str">
        <x:v>本阶段断电试装可延后；额定电流与 DC 分断方案未确定。</x:v>
      </x:c>
    </x:row>
    <x:row r="13" ht="53" customHeight="1">
      <x:c r="A13" s="15" t="str">
        <x:v>T02</x:v>
      </x:c>
      <x:c r="B13" s="15" t="str">
        <x:v>后部充电DC母座</x:v>
      </x:c>
      <x:c r="C13" s="15" t="str">
        <x:v>插合DC5.5×2.1；面板安装孔/螺纹/载流待确定</x:v>
      </x:c>
      <x:c r="D13" s="15" t="str">
        <x:v>走线或后续通电</x:v>
      </x:c>
      <x:c r="E13" s="18" t="n">
        <x:v>1</x:v>
      </x:c>
      <x:c r="F13" s="17"/>
      <x:c r="G13" s="17" t="n">
        <x:v>0</x:v>
      </x:c>
      <x:c r="H13" s="18" t="str">
        <x:f>IF(ISNUMBER(E13),IF(AND(ISNUMBER(F13),ISNUMBER(G13)),MAX(0,E13+G13-F13),"待核实"),"待定")</x:f>
        <x:v>待核实</x:v>
      </x:c>
      <x:c r="I13" s="15" t="str">
        <x:v>规格仍待选型</x:v>
      </x:c>
      <x:c r="K13" s="21" t="str">
        <x:v>本阶段可延后；安装板仅导孔，先选母座再定最终孔。</x:v>
      </x:c>
    </x:row>
    <x:row r="14" ht="53" customHeight="1">
      <x:c r="A14" s="15" t="str">
        <x:v>T03</x:v>
      </x:c>
      <x:c r="B14" s="15" t="str">
        <x:v>线束、插头与绝缘护线件</x:v>
      </x:c>
      <x:c r="C14" s="15" t="str">
        <x:v>待电气方案与实物确认</x:v>
      </x:c>
      <x:c r="D14" s="15" t="str">
        <x:v>走线或后续通电</x:v>
      </x:c>
      <x:c r="E14" s="18" t="str">
        <x:v>待定</x:v>
      </x:c>
      <x:c r="F14" s="17"/>
      <x:c r="G14" s="17" t="n">
        <x:v>0</x:v>
      </x:c>
      <x:c r="H14" s="18" t="str">
        <x:f>IF(ISNUMBER(E14),IF(AND(ISNUMBER(F14),ISNUMBER(G14)),MAX(0,E14+G14-F14),"待核实"),"待定")</x:f>
        <x:v>待定</x:v>
      </x:c>
      <x:c r="I14" s="15" t="str">
        <x:v>数量及规格待定</x:v>
      </x:c>
      <x:c r="K14" s="21" t="str">
        <x:v>本阶段可延后；数量/针脚/长度待实际配线，不按 0 处理。</x:v>
      </x:c>
    </x:row>
    <x:row r="15" ht="53" customHeight="1">
      <x:c r="A15" s="15" t="str">
        <x:v>T04</x:v>
      </x:c>
      <x:c r="B15" s="15" t="str">
        <x:v>螺纹防松与标记耗材</x:v>
      </x:c>
      <x:c r="C15" s="15" t="str">
        <x:v>待电气方案与实物确认</x:v>
      </x:c>
      <x:c r="D15" s="15" t="str">
        <x:v>走线或后续通电</x:v>
      </x:c>
      <x:c r="E15" s="18" t="str">
        <x:v>待定</x:v>
      </x:c>
      <x:c r="F15" s="17"/>
      <x:c r="G15" s="17" t="n">
        <x:v>0</x:v>
      </x:c>
      <x:c r="H15" s="18" t="str">
        <x:f>IF(ISNUMBER(E15),IF(AND(ISNUMBER(F15),ISNUMBER(G15)),MAX(0,E15+G15-F15),"待核实"),"待定")</x:f>
        <x:v>待定</x:v>
      </x:c>
      <x:c r="I15" s="15" t="str">
        <x:v>数量及规格待定</x:v>
      </x:c>
      <x:c r="K15" s="21" t="str">
        <x:v>本阶段可延后；打印件不套用金属拧紧扭矩或未验证胶水。</x:v>
      </x:c>
    </x:row>
    <x:row r="16" ht="53" customHeight="1">
      <x:c r="A16" s="15" t="str">
        <x:v>C03</x:v>
      </x:c>
      <x:c r="B16" s="15" t="str">
        <x:v>扩展坞防响软垫</x:v>
      </x:c>
      <x:c r="C16" s="15" t="str">
        <x:v>2×15×0.5 mm；两片，0.5为装配间隙目标</x:v>
      </x:c>
      <x:c r="D16" s="15" t="str">
        <x:v>按实物试装核实</x:v>
      </x:c>
      <x:c r="E16" s="18" t="n">
        <x:v>2</x:v>
      </x:c>
      <x:c r="F16" s="17"/>
      <x:c r="G16" s="17" t="n">
        <x:v>0</x:v>
      </x:c>
      <x:c r="H16" s="18" t="str">
        <x:f>IF(ISNUMBER(E16),IF(AND(ISNUMBER(F16),ISNUMBER(G16)),MAX(0,E16+G16-F16),"待核实"),"待定")</x:f>
        <x:v>待核实</x:v>
      </x:c>
      <x:c r="I16" s="15" t="str">
        <x:f>IF(ISNUMBER(H16),IF(H16&gt;0,"需补齐数量","数量已齐"),"库存待核实")</x:f>
        <x:v>库存待核实</x:v>
      </x:c>
      <x:c r="K16" s="21" t="str">
        <x:v>压缩后装配间隙0.5；仅压非接口壳边。</x:v>
      </x:c>
    </x:row>
    <x:row r="17" ht="53" customHeight="1">
      <x:c r="A17" s="15" t="str">
        <x:v>C04</x:v>
      </x:c>
      <x:c r="B17" s="15" t="str">
        <x:v>USB3数据延长线</x:v>
      </x:c>
      <x:c r="C17" s="15" t="str">
        <x:v>USB-A公→USB-A母；250 mm</x:v>
      </x:c>
      <x:c r="D17" s="15" t="str">
        <x:v>走线或后续通电</x:v>
      </x:c>
      <x:c r="E17" s="18" t="n">
        <x:v>1</x:v>
      </x:c>
      <x:c r="F17" s="17"/>
      <x:c r="G17" s="17" t="n">
        <x:v>0</x:v>
      </x:c>
      <x:c r="H17" s="18" t="str">
        <x:f>IF(ISNUMBER(E17),IF(AND(ISNUMBER(F17),ISNUMBER(G17)),MAX(0,E17+G17-F17),"待核实"),"待定")</x:f>
        <x:v>待核实</x:v>
      </x:c>
      <x:c r="I17" s="15" t="str">
        <x:f>IF(ISNUMBER(H17),IF(H17&gt;0,"需补齐数量","数量已齐"),"库存待核实")</x:f>
        <x:v>库存待核实</x:v>
      </x:c>
      <x:c r="K17" s="21" t="str">
        <x:v>可留至走线试装；支持 USB3 数据，实际插头尺寸待核对。</x:v>
      </x:c>
    </x:row>
    <x:row r="18" ht="53" customHeight="1">
      <x:c r="A18" s="15" t="str">
        <x:v>T05</x:v>
      </x:c>
      <x:c r="B18" s="15" t="str">
        <x:v>机壳及托盘护线套</x:v>
      </x:c>
      <x:c r="C18" s="15" t="str">
        <x:v>适用Ø10面板孔、3mm板厚；净孔≥7mm</x:v>
      </x:c>
      <x:c r="D18" s="15" t="str">
        <x:v>走线或后续通电</x:v>
      </x:c>
      <x:c r="E18" s="18" t="n">
        <x:v>3</x:v>
      </x:c>
      <x:c r="F18" s="17"/>
      <x:c r="G18" s="17" t="n">
        <x:v>0</x:v>
      </x:c>
      <x:c r="H18" s="18" t="str">
        <x:f>IF(ISNUMBER(E18),IF(AND(ISNUMBER(F18),ISNUMBER(G18)),MAX(0,E18+G18-F18),"待核实"),"待定")</x:f>
        <x:v>待核实</x:v>
      </x:c>
      <x:c r="I18" s="15" t="str">
        <x:v>规格仍待选型</x:v>
      </x:c>
      <x:c r="K18" s="21" t="str">
        <x:v>本阶段可延后；护线套型号及开合方式仍需按插头确定。</x:v>
      </x:c>
    </x:row>
    <x:row r="21">
      <x:c r="A21" s="22" t="str">
        <x:v>可选替代，仅打印失败后启用</x:v>
      </x:c>
    </x:row>
    <x:row r="22" ht="53" customHeight="1">
      <x:c r="A22" s="23" t="str">
        <x:v>对应ID</x:v>
      </x:c>
      <x:c r="B22" s="23" t="str">
        <x:v>精细定制件</x:v>
      </x:c>
      <x:c r="C22" s="23" t="str">
        <x:v>必须保持的尺寸</x:v>
      </x:c>
      <x:c r="D22" s="23" t="str">
        <x:v>替代条件</x:v>
      </x:c>
      <x:c r="E22" s="23" t="str">
        <x:v>替代用量</x:v>
      </x:c>
      <x:c r="F22" s="23" t="str">
        <x:v>单位</x:v>
      </x:c>
      <x:c r="G22" s="23" t="str">
        <x:v>默认购买</x:v>
      </x:c>
      <x:c r="H22" s="23" t="str">
        <x:v>原打印件</x:v>
      </x:c>
      <x:c r="I22" s="23" t="str">
        <x:v>采购方式</x:v>
      </x:c>
    </x:row>
    <x:row r="23" ht="53" customHeight="1">
      <x:c r="A23" s="24" t="str">
        <x:v>LC01</x:v>
      </x:c>
      <x:c r="B23" s="24" t="str">
        <x:v>轴承外圈压盖</x:v>
      </x:c>
      <x:c r="C23" s="24" t="str">
        <x:v>Ø28/Ø16.8×0.8；3-Ø2.2 PCD24</x:v>
      </x:c>
      <x:c r="D23" s="24" t="str">
        <x:v>按打印试装结果</x:v>
      </x:c>
      <x:c r="E23" s="24" t="n">
        <x:v>6</x:v>
      </x:c>
      <x:c r="F23" s="24" t="str">
        <x:v>件</x:v>
      </x:c>
      <x:c r="G23" s="24" t="n">
        <x:v>0</x:v>
      </x:c>
      <x:c r="H23" s="24" t="str">
        <x:v>保留在打印清单</x:v>
      </x:c>
      <x:c r="I23" s="24" t="str">
        <x:v>按原图定制</x:v>
      </x:c>
      <x:c r="K23" s="21" t="str">
        <x:v>打印翘曲时用同厚片料按原孔阵列制作；与打印件二选一。</x:v>
      </x:c>
    </x:row>
    <x:row r="24" ht="53" customHeight="1">
      <x:c r="A24" s="24" t="str">
        <x:v>LC02</x:v>
      </x:c>
      <x:c r="B24" s="24" t="str">
        <x:v>关节轴销</x:v>
      </x:c>
      <x:c r="C24" s="24" t="str">
        <x:v>Ø6×14.05；双端M2×0.4</x:v>
      </x:c>
      <x:c r="D24" s="24" t="str">
        <x:v>按打印试装结果</x:v>
      </x:c>
      <x:c r="E24" s="24" t="n">
        <x:v>6</x:v>
      </x:c>
      <x:c r="F24" s="24" t="str">
        <x:v>件</x:v>
      </x:c>
      <x:c r="G24" s="24" t="n">
        <x:v>0</x:v>
      </x:c>
      <x:c r="H24" s="24" t="str">
        <x:v>保留在打印清单</x:v>
      </x:c>
      <x:c r="I24" s="24" t="str">
        <x:v>按原图定制</x:v>
      </x:c>
      <x:c r="K24" s="21" t="str">
        <x:v>STL仅有底孔，打印后需手攻牙。无牙光杆只能检查同轴，不能等效防脱；按需同尺寸加工。</x:v>
      </x:c>
    </x:row>
    <x:row r="25" ht="53" customHeight="1">
      <x:c r="A25" s="24" t="str">
        <x:v>LC03</x:v>
      </x:c>
      <x:c r="B25" s="24" t="str">
        <x:v>内侧带肩衬套</x:v>
      </x:c>
      <x:c r="C25" s="24" t="str">
        <x:v>Ø8/Ø6.05×2.5＋肩Ø8.4/Ø6.2×1.25</x:v>
      </x:c>
      <x:c r="D25" s="24" t="str">
        <x:v>按打印试装结果</x:v>
      </x:c>
      <x:c r="E25" s="24" t="n">
        <x:v>6</x:v>
      </x:c>
      <x:c r="F25" s="24" t="str">
        <x:v>件</x:v>
      </x:c>
      <x:c r="G25" s="24" t="n">
        <x:v>0</x:v>
      </x:c>
      <x:c r="H25" s="24" t="str">
        <x:v>保留在打印清单</x:v>
      </x:c>
      <x:c r="I25" s="24" t="str">
        <x:v>按原图定制</x:v>
      </x:c>
      <x:c r="K25" s="21" t="str">
        <x:v>微小凸肩/间隙不适合用FDM判断精配；需要精配验收时才用同尺寸铜套。</x:v>
      </x:c>
    </x:row>
    <x:row r="26" ht="53" customHeight="1">
      <x:c r="A26" s="24" t="str">
        <x:v>LC04</x:v>
      </x:c>
      <x:c r="B26" s="24" t="str">
        <x:v>外侧带肩衬套</x:v>
      </x:c>
      <x:c r="C26" s="24" t="str">
        <x:v>肩Ø8.4/Ø6.2×1.70＋Ø8/Ø6.05×2.5</x:v>
      </x:c>
      <x:c r="D26" s="24" t="str">
        <x:v>按打印试装结果</x:v>
      </x:c>
      <x:c r="E26" s="24" t="n">
        <x:v>6</x:v>
      </x:c>
      <x:c r="F26" s="24" t="str">
        <x:v>件</x:v>
      </x:c>
      <x:c r="G26" s="24" t="n">
        <x:v>0</x:v>
      </x:c>
      <x:c r="H26" s="24" t="str">
        <x:v>保留在打印清单</x:v>
      </x:c>
      <x:c r="I26" s="24" t="str">
        <x:v>按原图定制</x:v>
      </x:c>
      <x:c r="K26" s="21" t="str">
        <x:v>微小凸肩/间隙不适合用FDM判断精配；需要精配验收时才用同尺寸铜套。</x:v>
      </x:c>
    </x:row>
    <x:row r="27" ht="53" customHeight="1">
      <x:c r="A27" s="24" t="str">
        <x:v>LC05</x:v>
      </x:c>
      <x:c r="B27" s="24" t="str">
        <x:v>轴销防脱挡片同尺寸薄片替代</x:v>
      </x:c>
      <x:c r="C27" s="24" t="str">
        <x:v>外径9 / 孔2.2 / 厚0.20 mm</x:v>
      </x:c>
      <x:c r="D27" s="24" t="str">
        <x:v>按打印试装结果</x:v>
      </x:c>
      <x:c r="E27" s="24" t="n">
        <x:v>12</x:v>
      </x:c>
      <x:c r="F27" s="24" t="str">
        <x:v>件</x:v>
      </x:c>
      <x:c r="G27" s="24" t="n">
        <x:v>0</x:v>
      </x:c>
      <x:c r="H27" s="24" t="str">
        <x:v>保留在打印清单</x:v>
      </x:c>
      <x:c r="I27" s="24" t="str">
        <x:v>按原图定制</x:v>
      </x:c>
      <x:c r="K27" s="21" t="str">
        <x:v>原 LC05 仍在打印清单；0.2 mm 仅单层，易翘曲或破损。断电试装可改用同尺寸0.20 mm PET片或钢片，替换12片，不叠加；不得用更厚标准垫圈。</x:v>
      </x:c>
    </x:row>
    <x:row r="28" ht="53" customHeight="1">
      <x:c r="A28" s="24" t="str">
        <x:v>LC06</x:v>
      </x:c>
      <x:c r="B28" s="24" t="str">
        <x:v>OA限位肩销</x:v>
      </x:c>
      <x:c r="C28" s="24" t="str">
        <x:v>M3×3；Ø4肩长4.2；Ø7×1头</x:v>
      </x:c>
      <x:c r="D28" s="24" t="str">
        <x:v>按打印试装结果</x:v>
      </x:c>
      <x:c r="E28" s="24" t="n">
        <x:v>2</x:v>
      </x:c>
      <x:c r="F28" s="24" t="str">
        <x:v>件</x:v>
      </x:c>
      <x:c r="G28" s="24" t="n">
        <x:v>0</x:v>
      </x:c>
      <x:c r="H28" s="24" t="str">
        <x:v>保留在打印清单</x:v>
      </x:c>
      <x:c r="I28" s="24" t="str">
        <x:v>按原图定制</x:v>
      </x:c>
      <x:c r="K28" s="21" t="str">
        <x:v>STL名义外圆不含真实牙；可观察限位位置。普通M3螺钉不能等效；按需同尺寸加工。</x:v>
      </x:c>
    </x:row>
  </x:sheetData>
  <x:conditionalFormatting sqref="H9:I18">
    <x:cfRule type="containsText" dxfId="0" priority="1" operator="containsText" text="待"/>
  </x:conditionalFormatting>
  <x:dataValidations count="2">
    <x:dataValidation type="whole" operator="between" sqref="F9:F18">
      <x:formula1>0</x:formula1>
      <x:formula2>10000</x:formula2>
    </x:dataValidation>
    <x:dataValidation type="whole" operator="between" sqref="G9:G18">
      <x:formula1>0</x:formula1>
      <x:formula2>10000</x:formula2>
    </x:dataValidation>
  </x:dataValidations>
  <x:pageMargins left="0.7" right="0.7" top="0.75" bottom="0.75" header="0.3" footer="0.3"/>
  <x:legacyDrawing xmlns:r="http://schemas.openxmlformats.org/officeDocument/2006/relationships" r:id="Re32e09c2d4814c03"/>
  <x:tableParts count="1">
    <x:tablePart xmlns:r="http://schemas.openxmlformats.org/officeDocument/2006/relationships" r:id="R056f774e8255483f"/>
  </x:tableParts>
</x:worksheet>
</file>

<file path=xl/worksheets/sheet3.xml><?xml version="1.0" encoding="utf-8"?>
<x:worksheet xmlns:x="http://schemas.openxmlformats.org/spreadsheetml/2006/main">
  <x:sheetPr>
    <x:tabColor rgb="FF294459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26" hidden="0" customWidth="1"/>
    <x:col min="3" max="3" width="48" hidden="0" customWidth="1"/>
    <x:col min="4" max="4" width="23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24" hidden="0" customWidth="1"/>
    <x:col min="11" max="11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已有电机与电子模块核对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5" t="str">
        <x:v>用户已确认已有这些设备，使用实物装配；本表仅核对数量与版本，不重复采购。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6" t="str">
        <x:v>来源：V8.2 完整 BOM；本次按单台、断电机械试装整理。</x:v>
      </x:c>
      <x:c r="B6" s="2"/>
      <x:c r="C6" s="2"/>
      <x:c r="D6" s="2"/>
      <x:c r="E6" s="2"/>
      <x:c r="F6" s="2"/>
      <x:c r="G6" s="2"/>
      <x:c r="H6" s="2"/>
      <x:c r="I6" s="2"/>
    </x:row>
    <x:row r="7">
      <x:c r="A7" s="6" t="str">
        <x:v>黄色仅记录核对结果；本次采购始终为 0，缺件需另行确认。</x:v>
      </x:c>
      <x:c r="B7" s="2"/>
      <x:c r="C7" s="2"/>
      <x:c r="D7" s="2"/>
      <x:c r="E7" s="2"/>
      <x:c r="F7" s="2"/>
      <x:c r="G7" s="2"/>
      <x:c r="H7" s="2"/>
      <x:c r="I7" s="2"/>
    </x:row>
    <x:row r="8" ht="28" customHeight="1">
      <x:c r="A8" s="12" t="str">
        <x:v>ID</x:v>
      </x:c>
      <x:c r="B8" s="13" t="str">
        <x:v>设备</x:v>
      </x:c>
      <x:c r="C8" s="13" t="str">
        <x:v>型号与安装包络</x:v>
      </x:c>
      <x:c r="D8" s="13" t="str">
        <x:v>在手状态</x:v>
      </x:c>
      <x:c r="E8" s="13" t="str">
        <x:v>整机需求</x:v>
      </x:c>
      <x:c r="F8" s="13" t="str">
        <x:v>单位</x:v>
      </x:c>
      <x:c r="G8" s="13" t="str">
        <x:v>本次采购</x:v>
      </x:c>
      <x:c r="H8" s="13" t="str">
        <x:v>核对结果</x:v>
      </x:c>
      <x:c r="I8" s="14" t="str">
        <x:v>模块</x:v>
      </x:c>
      <x:c r="K8" s="19" t="str">
        <x:v>装配与采购注意</x:v>
      </x:c>
    </x:row>
    <x:row r="9" ht="53" customHeight="1">
      <x:c r="A9" s="15" t="str">
        <x:v>E01</x:v>
      </x:c>
      <x:c r="B9" s="15" t="str">
        <x:v>J4310关节电机</x:v>
      </x:c>
      <x:c r="C9" s="15" t="str">
        <x:v>DM-J4310-2EC，24V，V1.1驱动</x:v>
      </x:c>
      <x:c r="D9" s="15" t="str">
        <x:v>用户已确认已有</x:v>
      </x:c>
      <x:c r="E9" s="18" t="n">
        <x:v>4</x:v>
      </x:c>
      <x:c r="F9" s="18" t="str">
        <x:v>件</x:v>
      </x:c>
      <x:c r="G9" s="18" t="n">
        <x:v>0</x:v>
      </x:c>
      <x:c r="H9" s="16" t="str">
        <x:v>待实物核对</x:v>
      </x:c>
      <x:c r="I9" s="15" t="str">
        <x:v>M01、M02</x:v>
      </x:c>
      <x:c r="K9" s="21" t="str">
        <x:v>使用在手实物试装；随设备自带零件不重复采购。</x:v>
      </x:c>
    </x:row>
    <x:row r="10" ht="53" customHeight="1">
      <x:c r="A10" s="15" t="str">
        <x:v>E02</x:v>
      </x:c>
      <x:c r="B10" s="15" t="str">
        <x:v>轮毂电机</x:v>
      </x:c>
      <x:c r="C10" s="15" t="str">
        <x:v>DM-H6215</x:v>
      </x:c>
      <x:c r="D10" s="15" t="str">
        <x:v>用户已确认已有</x:v>
      </x:c>
      <x:c r="E10" s="18" t="n">
        <x:v>2</x:v>
      </x:c>
      <x:c r="F10" s="18" t="str">
        <x:v>件</x:v>
      </x:c>
      <x:c r="G10" s="18" t="n">
        <x:v>0</x:v>
      </x:c>
      <x:c r="H10" s="16" t="str">
        <x:v>待实物核对</x:v>
      </x:c>
      <x:c r="I10" s="15" t="str">
        <x:v>M01、M02</x:v>
      </x:c>
      <x:c r="K10" s="21" t="str">
        <x:v>使用在手实物试装；随设备自带零件不重复采购。</x:v>
      </x:c>
    </x:row>
    <x:row r="11" ht="53" customHeight="1">
      <x:c r="A11" s="15" t="str">
        <x:v>E03</x:v>
      </x:c>
      <x:c r="B11" s="15" t="str">
        <x:v>开发套件</x:v>
      </x:c>
      <x:c r="C11" s="15" t="str">
        <x:v>Jetson Orin Nano官方开发套件</x:v>
      </x:c>
      <x:c r="D11" s="15" t="str">
        <x:v>用户已确认已有</x:v>
      </x:c>
      <x:c r="E11" s="18" t="n">
        <x:v>1</x:v>
      </x:c>
      <x:c r="F11" s="18" t="str">
        <x:v>件</x:v>
      </x:c>
      <x:c r="G11" s="18" t="n">
        <x:v>0</x:v>
      </x:c>
      <x:c r="H11" s="16" t="str">
        <x:v>待实物核对</x:v>
      </x:c>
      <x:c r="I11" s="15" t="str">
        <x:v>M04</x:v>
      </x:c>
      <x:c r="K11" s="21" t="str">
        <x:v>使用在手实物试装；随设备自带零件不重复采购。</x:v>
      </x:c>
    </x:row>
    <x:row r="12" ht="53" customHeight="1">
      <x:c r="A12" s="15" t="str">
        <x:v>E04</x:v>
      </x:c>
      <x:c r="B12" s="15" t="str">
        <x:v>深度相机</x:v>
      </x:c>
      <x:c r="C12" s="15" t="str">
        <x:v>RealSense D435</x:v>
      </x:c>
      <x:c r="D12" s="15" t="str">
        <x:v>用户已确认已有</x:v>
      </x:c>
      <x:c r="E12" s="18" t="n">
        <x:v>1</x:v>
      </x:c>
      <x:c r="F12" s="18" t="str">
        <x:v>件</x:v>
      </x:c>
      <x:c r="G12" s="18" t="n">
        <x:v>0</x:v>
      </x:c>
      <x:c r="H12" s="16" t="str">
        <x:v>待实物核对</x:v>
      </x:c>
      <x:c r="I12" s="15" t="str">
        <x:v>M05</x:v>
      </x:c>
      <x:c r="K12" s="21" t="str">
        <x:v>使用在手实物试装；随设备自带零件不重复采购。</x:v>
      </x:c>
    </x:row>
    <x:row r="13" ht="53" customHeight="1">
      <x:c r="A13" s="15" t="str">
        <x:v>E05</x:v>
      </x:c>
      <x:c r="B13" s="15" t="str">
        <x:v>惯性测量单元</x:v>
      </x:c>
      <x:c r="C13" s="15" t="str">
        <x:v>超核HI13R2 USB版</x:v>
      </x:c>
      <x:c r="D13" s="15" t="str">
        <x:v>用户已确认已有</x:v>
      </x:c>
      <x:c r="E13" s="18" t="n">
        <x:v>1</x:v>
      </x:c>
      <x:c r="F13" s="18" t="str">
        <x:v>件</x:v>
      </x:c>
      <x:c r="G13" s="18" t="n">
        <x:v>0</x:v>
      </x:c>
      <x:c r="H13" s="16" t="str">
        <x:v>待实物核对</x:v>
      </x:c>
      <x:c r="I13" s="15" t="str">
        <x:v>M04</x:v>
      </x:c>
      <x:c r="K13" s="21" t="str">
        <x:v>使用在手实物试装；随设备自带零件不重复采购。</x:v>
      </x:c>
    </x:row>
    <x:row r="14" ht="53" customHeight="1">
      <x:c r="A14" s="15" t="str">
        <x:v>E06</x:v>
      </x:c>
      <x:c r="B14" s="15" t="str">
        <x:v>5寸显示器</x:v>
      </x:c>
      <x:c r="C14" s="15" t="str">
        <x:v>GK-HD V3，122×78×14.5 mm</x:v>
      </x:c>
      <x:c r="D14" s="15" t="str">
        <x:v>用户已确认已有</x:v>
      </x:c>
      <x:c r="E14" s="18" t="n">
        <x:v>1</x:v>
      </x:c>
      <x:c r="F14" s="18" t="str">
        <x:v>件</x:v>
      </x:c>
      <x:c r="G14" s="18" t="n">
        <x:v>0</x:v>
      </x:c>
      <x:c r="H14" s="16" t="str">
        <x:v>待实物核对</x:v>
      </x:c>
      <x:c r="I14" s="15" t="str">
        <x:v>M05</x:v>
      </x:c>
      <x:c r="K14" s="21" t="str">
        <x:v>使用在手实物试装；随设备自带零件不重复采购。</x:v>
      </x:c>
    </x:row>
    <x:row r="15" ht="53" customHeight="1">
      <x:c r="A15" s="15" t="str">
        <x:v>E07</x:v>
      </x:c>
      <x:c r="B15" s="15" t="str">
        <x:v>E626S电池包及磁吸底座</x:v>
      </x:c>
      <x:c r="C15" s="15" t="str">
        <x:v>用户确认24V等级E626S；本体85.6×61.6×42 mm，含磁底44.5 mm</x:v>
      </x:c>
      <x:c r="D15" s="15" t="str">
        <x:v>用户已确认已有</x:v>
      </x:c>
      <x:c r="E15" s="18" t="n">
        <x:v>1</x:v>
      </x:c>
      <x:c r="F15" s="18" t="str">
        <x:v>件</x:v>
      </x:c>
      <x:c r="G15" s="18" t="n">
        <x:v>0</x:v>
      </x:c>
      <x:c r="H15" s="16" t="str">
        <x:v>待实物核对</x:v>
      </x:c>
      <x:c r="I15" s="15" t="str">
        <x:v>M04</x:v>
      </x:c>
      <x:c r="K15" s="21" t="str">
        <x:v>使用在手实物试装；随设备自带零件不重复采购。</x:v>
      </x:c>
    </x:row>
    <x:row r="16" ht="53" customHeight="1">
      <x:c r="A16" s="15" t="str">
        <x:v>E09</x:v>
      </x:c>
      <x:c r="B16" s="15" t="str">
        <x:v>顶部自锁电源开关及插接座</x:v>
      </x:c>
      <x:c r="C16" s="15" t="str">
        <x:v>M16×1，法兰Ø17.8，AF19螺母；带插接座深47.5 mm</x:v>
      </x:c>
      <x:c r="D16" s="15" t="str">
        <x:v>用户已确认已有</x:v>
      </x:c>
      <x:c r="E16" s="18" t="n">
        <x:v>1</x:v>
      </x:c>
      <x:c r="F16" s="18" t="str">
        <x:v>件</x:v>
      </x:c>
      <x:c r="G16" s="18" t="n">
        <x:v>0</x:v>
      </x:c>
      <x:c r="H16" s="16" t="str">
        <x:v>待实物核对</x:v>
      </x:c>
      <x:c r="I16" s="15" t="str">
        <x:v>M06</x:v>
      </x:c>
      <x:c r="K16" s="21" t="str">
        <x:v>使用在手实物试装；随设备自带零件不重复采购。</x:v>
      </x:c>
    </x:row>
    <x:row r="17" ht="53" customHeight="1">
      <x:c r="A17" s="15" t="str">
        <x:v>E10</x:v>
      </x:c>
      <x:c r="B17" s="15" t="str">
        <x:v>背部四口USB扩展坞</x:v>
      </x:c>
      <x:c r="C17" s="15" t="str">
        <x:v>104×30×10 mm；一体USB-A上行线150 mm，线径约4.8 mm</x:v>
      </x:c>
      <x:c r="D17" s="15" t="str">
        <x:v>用户已确认已有</x:v>
      </x:c>
      <x:c r="E17" s="18" t="n">
        <x:v>1</x:v>
      </x:c>
      <x:c r="F17" s="18" t="str">
        <x:v>件</x:v>
      </x:c>
      <x:c r="G17" s="18" t="n">
        <x:v>0</x:v>
      </x:c>
      <x:c r="H17" s="16" t="str">
        <x:v>待实物核对</x:v>
      </x:c>
      <x:c r="I17" s="15" t="str">
        <x:v>M08</x:v>
      </x:c>
      <x:c r="K17" s="21" t="str">
        <x:v>使用在手实物试装；随设备自带零件不重复采购。</x:v>
      </x:c>
    </x:row>
    <x:row r="18" ht="53" customHeight="1">
      <x:c r="A18" s="15" t="str">
        <x:v>E11</x:v>
      </x:c>
      <x:c r="B18" s="15" t="str">
        <x:v>达妙双路USB2CANFD裸板</x:v>
      </x:c>
      <x:c r="C18" s="15" t="str">
        <x:v>DM-USB2CANFD Dual；使用提供模型中的裸板</x:v>
      </x:c>
      <x:c r="D18" s="15" t="str">
        <x:v>用户已确认已有</x:v>
      </x:c>
      <x:c r="E18" s="18" t="n">
        <x:v>1</x:v>
      </x:c>
      <x:c r="F18" s="18" t="str">
        <x:v>件</x:v>
      </x:c>
      <x:c r="G18" s="18" t="n">
        <x:v>0</x:v>
      </x:c>
      <x:c r="H18" s="16" t="str">
        <x:v>待实物核对</x:v>
      </x:c>
      <x:c r="I18" s="15" t="str">
        <x:v>M07</x:v>
      </x:c>
      <x:c r="K18" s="21" t="str">
        <x:v>使用在手实物试装；随设备自带零件不重复采购。</x:v>
      </x:c>
    </x:row>
    <x:row r="19" ht="53" customHeight="1">
      <x:c r="A19" s="15" t="str">
        <x:v>E12</x:v>
      </x:c>
      <x:c r="B19" s="15" t="str">
        <x:v>用户配电转接板</x:v>
      </x:c>
      <x:c r="C19" s="15" t="str">
        <x:v>3D_PCB1_2026-09-28.step 对应板组件</x:v>
      </x:c>
      <x:c r="D19" s="15" t="str">
        <x:v>用户已确认已有</x:v>
      </x:c>
      <x:c r="E19" s="18" t="n">
        <x:v>1</x:v>
      </x:c>
      <x:c r="F19" s="18" t="str">
        <x:v>件</x:v>
      </x:c>
      <x:c r="G19" s="18" t="n">
        <x:v>0</x:v>
      </x:c>
      <x:c r="H19" s="16" t="str">
        <x:v>待实物核对</x:v>
      </x:c>
      <x:c r="I19" s="15" t="str">
        <x:v>M07</x:v>
      </x:c>
      <x:c r="K19" s="21" t="str">
        <x:v>使用在手实物试装；随设备自带零件不重复采购。</x:v>
      </x:c>
    </x:row>
    <x:row r="20" ht="53" customHeight="1">
      <x:c r="A20" s="15" t="str">
        <x:v>E13</x:v>
      </x:c>
      <x:c r="B20" s="15" t="str">
        <x:v>24→19 V电源转换模块</x:v>
      </x:c>
      <x:c r="C20" s="15" t="str">
        <x:v>主体45×25×20 mm；总长58 mm；孔距51 mm，孔Ø4 mm</x:v>
      </x:c>
      <x:c r="D20" s="15" t="str">
        <x:v>用户已确认已有</x:v>
      </x:c>
      <x:c r="E20" s="18" t="n">
        <x:v>1</x:v>
      </x:c>
      <x:c r="F20" s="18" t="str">
        <x:v>件</x:v>
      </x:c>
      <x:c r="G20" s="18" t="n">
        <x:v>0</x:v>
      </x:c>
      <x:c r="H20" s="16" t="str">
        <x:v>待实物核对</x:v>
      </x:c>
      <x:c r="I20" s="15" t="str">
        <x:v>M07</x:v>
      </x:c>
      <x:c r="K20" s="21" t="str">
        <x:v>使用在手实物试装；随设备自带零件不重复采购。</x:v>
      </x:c>
    </x:row>
  </x:sheetData>
  <x:dataValidations count="1">
    <x:dataValidation type="list" sqref="H9:H20">
      <x:formula1>"待实物核对,一致,数量不符,版本不符"</x:formula1>
    </x:dataValidation>
  </x:dataValidations>
  <x:pageMargins left="0.7" right="0.7" top="0.75" bottom="0.75" header="0.3" footer="0.3"/>
  <x:legacyDrawing xmlns:r="http://schemas.openxmlformats.org/officeDocument/2006/relationships" r:id="R8cdcbe59e7da41c2"/>
  <x:tableParts count="1">
    <x:tablePart xmlns:r="http://schemas.openxmlformats.org/officeDocument/2006/relationships" r:id="R8a90201b34374b64"/>
  </x:tableParts>
</x:worksheet>
</file>