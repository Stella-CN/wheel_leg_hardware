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2f5a17955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与目录件" sheetId="1" r:id="Rdc21449d1cd54bcb"/>
    <x:sheet xmlns:r="http://schemas.openxmlformats.org/officeDocument/2006/relationships" name="制造分类" sheetId="2" r:id="R85aeca5e6bee4772"/>
    <x:sheet xmlns:r="http://schemas.openxmlformats.org/officeDocument/2006/relationships" name="完整BOM" sheetId="3" r:id="R003dec32cfc240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5">
    <x:font>
      <x:sz val="11"/>
      <x:name val="Carlito"/>
    </x:font>
    <x:font>
      <x:sz val="11"/>
      <x:color rgb="FF202B36"/>
      <x:name val="Arial"/>
    </x:font>
    <x:font>
      <x:b/>
      <x:sz val="16"/>
      <x:color rgb="FF21374B"/>
      <x:name val="Arial"/>
    </x:font>
    <x:font>
      <x:sz val="11"/>
      <x:color rgb="FF59687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4459"/>
      </x:patternFill>
    </x:fill>
    <x:fill>
      <x:patternFill patternType="solid">
        <x:fgColor rgb="FFFFF1CC"/>
      </x:patternFill>
    </x:fill>
  </x:fills>
  <x:borders count="5">
    <x:border/>
    <x:border>
      <x:bottom style="thin">
        <x:color rgb="FFAAB7C2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7F52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f7f44bfd2e425a" /><Relationship Type="http://schemas.openxmlformats.org/officeDocument/2006/relationships/theme" Target="/xl/theme/theme1.xml" Id="Rb11fe83f8cea4caf" /><Relationship Type="http://schemas.openxmlformats.org/officeDocument/2006/relationships/sharedStrings" Target="/xl/sharedStrings.xml" Id="R5d501f82b3bb460a" /><Relationship Type="http://schemas.openxmlformats.org/officeDocument/2006/relationships/worksheet" Target="/xl/worksheets/sheet1.xml" Id="Rdc21449d1cd54bcb" /><Relationship Type="http://schemas.openxmlformats.org/officeDocument/2006/relationships/worksheet" Target="/xl/worksheets/sheet2.xml" Id="R85aeca5e6bee4772" /><Relationship Type="http://schemas.openxmlformats.org/officeDocument/2006/relationships/worksheet" Target="/xl/worksheets/sheet3.xml" Id="R003dec32cfc24077" /></Relationships>
</file>

<file path=xl/tables/table1.xml><?xml version="1.0" encoding="utf-8"?>
<x:table xmlns:x="http://schemas.openxmlformats.org/spreadsheetml/2006/main" id="3" name="V82StandardProcurement" displayName="V82StandardProcurement" ref="A7:K30" headerRowCount="1" totalsRowCount="0" totalsRowShown="0">
  <x:autoFilter ref="A7:K30"/>
  <x:tableColumns count="11">
    <x:tableColumn id="1" name="标准采购键"/>
    <x:tableColumn id="2" name="名称"/>
    <x:tableColumn id="3" name="完整采购规格"/>
    <x:tableColumn id="4" name="材料/等级"/>
    <x:tableColumn id="5" name="单机用量"/>
    <x:tableColumn id="6" name="单位"/>
    <x:tableColumn id="7" name="备件比例"/>
    <x:tableColumn id="8" name="备件数量"/>
    <x:tableColumn id="9" name="建议购买量"/>
    <x:tableColumn id="10" name="使用模块"/>
    <x:tableColumn id="11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82Manufacturing" displayName="V82Manufacturing" ref="A7:I45" headerRowCount="1" totalsRowCount="0" totalsRowShown="0">
  <x:autoFilter ref="A7:I45"/>
  <x:tableColumns count="9">
    <x:tableColumn id="1" name="零件ID"/>
    <x:tableColumn id="2" name="装配模块"/>
    <x:tableColumn id="3" name="零件名称"/>
    <x:tableColumn id="4" name="数量"/>
    <x:tableColumn id="5" name="材料/等级"/>
    <x:tableColumn id="6" name="制造工艺"/>
    <x:tableColumn id="7" name="供应方式"/>
    <x:tableColumn id="8" name="关键加工或装配要求"/>
    <x:tableColumn id="9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V82CompleteBOM" displayName="V82CompleteBOM" ref="A7:M90" headerRowCount="1" totalsRowCount="0" totalsRowShown="0">
  <x:autoFilter ref="A7:M90"/>
  <x:tableColumns count="13">
    <x:tableColumn id="1" name="零件ID"/>
    <x:tableColumn id="2" name="装配模块"/>
    <x:tableColumn id="3" name="零件名称"/>
    <x:tableColumn id="4" name="完整规格"/>
    <x:tableColumn id="5" name="单机数量"/>
    <x:tableColumn id="6" name="单位"/>
    <x:tableColumn id="7" name="材料/等级"/>
    <x:tableColumn id="8" name="制造工艺"/>
    <x:tableColumn id="9" name="供应方式"/>
    <x:tableColumn id="10" name="状态"/>
    <x:tableColumn id="11" name="来源"/>
    <x:tableColumn id="12" name="备注"/>
    <x:tableColumn id="13" name="标准采购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550edef11644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06899e932446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adbd834177542c3" /></Relationships>
</file>

<file path=xl/worksheets/sheet1.xml><?xml version="1.0" encoding="utf-8"?>
<x:worksheet xmlns:x="http://schemas.openxmlformats.org/spreadsheetml/2006/main">
  <x:sheetPr>
    <x:tabColor rgb="FF294459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8" hidden="0" customWidth="1"/>
    <x:col min="2" max="2" width="27" hidden="0" customWidth="1"/>
    <x:col min="3" max="3" width="53" hidden="0" customWidth="1"/>
    <x:col min="4" max="4" width="20" hidden="0" customWidth="1"/>
    <x:col min="5" max="5" width="10" hidden="0" customWidth="1"/>
    <x:col min="6" max="6" width="7" hidden="0" customWidth="1"/>
    <x:col min="7" max="7" width="12" hidden="0" customWidth="1"/>
    <x:col min="8" max="8" width="12" hidden="0" customWidth="1"/>
    <x:col min="9" max="9" width="14" hidden="0" customWidth="1"/>
    <x:col min="10" max="10" width="36" hidden="0" customWidth="1"/>
    <x:col min="11" max="11" width="3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标准与目录件采购汇总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5" t="str">
        <x:v>同规范、尺寸、等级和表面处理才合并。黄色备件比例可编辑，默认 0%，向上取整。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A6" s="5" t="str">
        <x:v>M01 左腿预装总成；M02 右腿预装总成；M03 承力机架与总装接口件；M04 电器仓子模块；M05 屏幕相机前脸总成；M06 外壳套件；M07 前部配电通信服务模块；M08 后部USB扩展模块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0" customHeight="1">
      <x:c r="A7" s="11" t="str">
        <x:v>标准采购键</x:v>
      </x:c>
      <x:c r="B7" s="12" t="str">
        <x:v>名称</x:v>
      </x:c>
      <x:c r="C7" s="12" t="str">
        <x:v>完整采购规格</x:v>
      </x:c>
      <x:c r="D7" s="12" t="str">
        <x:v>材料/等级</x:v>
      </x:c>
      <x:c r="E7" s="12" t="str">
        <x:v>单机用量</x:v>
      </x:c>
      <x:c r="F7" s="12" t="str">
        <x:v>单位</x:v>
      </x:c>
      <x:c r="G7" s="12" t="str">
        <x:v>备件比例</x:v>
      </x:c>
      <x:c r="H7" s="12" t="str">
        <x:v>备件数量</x:v>
      </x:c>
      <x:c r="I7" s="12" t="str">
        <x:v>建议购买量</x:v>
      </x:c>
      <x:c r="J7" s="12" t="str">
        <x:v>使用模块</x:v>
      </x:c>
      <x:c r="K7" s="13" t="str">
        <x:v>状态</x:v>
      </x:c>
    </x:row>
    <x:row r="8" ht="40" customHeight="1">
      <x:c r="A8" s="14" t="str">
        <x:v>DIN6325|4m6x10|hardened_60HRC|ground_plain</x:v>
      </x:c>
      <x:c r="B8" s="14" t="str">
        <x:v>定位圆柱销</x:v>
      </x:c>
      <x:c r="C8" s="14" t="str">
        <x:v>DIN6325 Ø4m6×10（Norelem03320-04X10）</x:v>
      </x:c>
      <x:c r="D8" s="14" t="str">
        <x:v>工具钢；淬硬磨削60±2HRC；本色</x:v>
      </x:c>
      <x:c r="E8" s="15" t="n">
        <x:f>SUMIFS('完整BOM'!$E$8:$E$90,'完整BOM'!$M$8:$M$90,A8)</x:f>
        <x:v>6</x:v>
      </x:c>
      <x:c r="F8" s="16" t="str">
        <x:v>件</x:v>
      </x:c>
      <x:c r="G8" s="18" t="n">
        <x:v>0</x:v>
      </x:c>
      <x:c r="H8" s="15" t="n">
        <x:f>ROUNDUP(E8*G8,0)</x:f>
        <x:v>0</x:v>
      </x:c>
      <x:c r="I8" s="15" t="n">
        <x:f>E8+H8</x:f>
        <x:v>6</x:v>
      </x:c>
      <x:c r="J8" s="14" t="str">
        <x:v>M01、M02</x:v>
      </x:c>
      <x:c r="K8" s="14" t="str">
        <x:v>原型装配规格；未验证跳跃强度</x:v>
      </x:c>
    </x:row>
    <x:row r="9" ht="40" customHeight="1">
      <x:c r="A9" s="14" t="str">
        <x:v>DIN7991|M3x10|010.9|steel|black|headD6_k1.7</x:v>
      </x:c>
      <x:c r="B9" s="14" t="str">
        <x:v>沉头内六角螺钉</x:v>
      </x:c>
      <x:c r="C9" s="14" t="str">
        <x:v>DIN7991 M3×10；头≤Ø6×1.7，90°，内六角2</x:v>
      </x:c>
      <x:c r="D9" s="14" t="str">
        <x:v>钢010.9；发黑</x:v>
      </x:c>
      <x:c r="E9" s="15" t="n">
        <x:f>SUMIFS('完整BOM'!$E$8:$E$90,'完整BOM'!$M$8:$M$90,A9)</x:f>
        <x:v>8</x:v>
      </x:c>
      <x:c r="F9" s="16" t="str">
        <x:v>件</x:v>
      </x:c>
      <x:c r="G9" s="18" t="n">
        <x:v>0</x:v>
      </x:c>
      <x:c r="H9" s="15" t="n">
        <x:f>ROUNDUP(E9*G9,0)</x:f>
        <x:v>0</x:v>
      </x:c>
      <x:c r="I9" s="15" t="n">
        <x:f>E9+H9</x:f>
        <x:v>8</x:v>
      </x:c>
      <x:c r="J9" s="14" t="str">
        <x:v>M01、M02</x:v>
      </x:c>
      <x:c r="K9" s="14" t="str">
        <x:v>原型装配规格；未验证跳跃强度</x:v>
      </x:c>
    </x:row>
    <x:row r="10" ht="40" customHeight="1">
      <x:c r="A10" s="14" t="str">
        <x:v>DIN7991|M3x6|010.9|steel|black|headD6_k1.7</x:v>
      </x:c>
      <x:c r="B10" s="14" t="str">
        <x:v>沉头内六角螺钉</x:v>
      </x:c>
      <x:c r="C10" s="14" t="str">
        <x:v>DIN7991 M3×6；头≤Ø6×1.7，90°，内六角2</x:v>
      </x:c>
      <x:c r="D10" s="14" t="str">
        <x:v>钢010.9；发黑</x:v>
      </x:c>
      <x:c r="E10" s="15" t="n">
        <x:f>SUMIFS('完整BOM'!$E$8:$E$90,'完整BOM'!$M$8:$M$90,A10)</x:f>
        <x:v>12</x:v>
      </x:c>
      <x:c r="F10" s="16" t="str">
        <x:v>件</x:v>
      </x:c>
      <x:c r="G10" s="18" t="n">
        <x:v>0</x:v>
      </x:c>
      <x:c r="H10" s="15" t="n">
        <x:f>ROUNDUP(E10*G10,0)</x:f>
        <x:v>0</x:v>
      </x:c>
      <x:c r="I10" s="15" t="n">
        <x:f>E10+H10</x:f>
        <x:v>12</x:v>
      </x:c>
      <x:c r="J10" s="14" t="str">
        <x:v>M01、M02</x:v>
      </x:c>
      <x:c r="K10" s="14" t="str">
        <x:v>原型装配规格；未验证跳跃强度</x:v>
      </x:c>
    </x:row>
    <x:row r="11" ht="40" customHeight="1">
      <x:c r="A11" s="14" t="str">
        <x:v>DIN7991|M3x8|010.9|steel|black|headD6_k1.7</x:v>
      </x:c>
      <x:c r="B11" s="14" t="str">
        <x:v>沉头内六角螺钉</x:v>
      </x:c>
      <x:c r="C11" s="14" t="str">
        <x:v>DIN7991 M3x0.5 x 8</x:v>
      </x:c>
      <x:c r="D11" s="14" t="str">
        <x:v>钢010.9；发黑</x:v>
      </x:c>
      <x:c r="E11" s="15" t="n">
        <x:f>SUMIFS('完整BOM'!$E$8:$E$90,'完整BOM'!$M$8:$M$90,A11)</x:f>
        <x:v>16</x:v>
      </x:c>
      <x:c r="F11" s="16" t="str">
        <x:v>件</x:v>
      </x:c>
      <x:c r="G11" s="18" t="n">
        <x:v>0</x:v>
      </x:c>
      <x:c r="H11" s="15" t="n">
        <x:f>ROUNDUP(E11*G11,0)</x:f>
        <x:v>0</x:v>
      </x:c>
      <x:c r="I11" s="15" t="n">
        <x:f>E11+H11</x:f>
        <x:v>16</x:v>
      </x:c>
      <x:c r="J11" s="14" t="str">
        <x:v>M03</x:v>
      </x:c>
      <x:c r="K11" s="14" t="str">
        <x:v>按列明头径/强度等级采购</x:v>
      </x:c>
    </x:row>
    <x:row r="12" ht="40" customHeight="1">
      <x:c r="A12" s="14" t="str">
        <x:v>DIN7991|M4x12|010.9|steel|black|headD8_k2.3</x:v>
      </x:c>
      <x:c r="B12" s="14" t="str">
        <x:v>沉头内六角螺钉</x:v>
      </x:c>
      <x:c r="C12" s="14" t="str">
        <x:v>DIN7991 M4×12；头≤Ø8×2.3，90°，内六角2.5</x:v>
      </x:c>
      <x:c r="D12" s="14" t="str">
        <x:v>钢010.9；发黑</x:v>
      </x:c>
      <x:c r="E12" s="15" t="n">
        <x:f>SUMIFS('完整BOM'!$E$8:$E$90,'完整BOM'!$M$8:$M$90,A12)</x:f>
        <x:v>8</x:v>
      </x:c>
      <x:c r="F12" s="16" t="str">
        <x:v>件</x:v>
      </x:c>
      <x:c r="G12" s="18" t="n">
        <x:v>0</x:v>
      </x:c>
      <x:c r="H12" s="15" t="n">
        <x:f>ROUNDUP(E12*G12,0)</x:f>
        <x:v>0</x:v>
      </x:c>
      <x:c r="I12" s="15" t="n">
        <x:f>E12+H12</x:f>
        <x:v>8</x:v>
      </x:c>
      <x:c r="J12" s="14" t="str">
        <x:v>M01、M02</x:v>
      </x:c>
      <x:c r="K12" s="14" t="str">
        <x:v>原型装配规格；未验证跳跃强度</x:v>
      </x:c>
    </x:row>
    <x:row r="13" ht="40" customHeight="1">
      <x:c r="A13" s="14" t="str">
        <x:v>ISO4032|M1.6|8|steel|zinc|AF3.2_t1.3</x:v>
      </x:c>
      <x:c r="B13" s="14" t="str">
        <x:v>六角螺母</x:v>
      </x:c>
      <x:c r="C13" s="14" t="str">
        <x:v>ISO4032 M1.6；AF3.2×1.3</x:v>
      </x:c>
      <x:c r="D13" s="14" t="str">
        <x:v>钢8；镀锌</x:v>
      </x:c>
      <x:c r="E13" s="15" t="n">
        <x:f>SUMIFS('完整BOM'!$E$8:$E$90,'完整BOM'!$M$8:$M$90,A13)</x:f>
        <x:v>4</x:v>
      </x:c>
      <x:c r="F13" s="16" t="str">
        <x:v>件</x:v>
      </x:c>
      <x:c r="G13" s="18" t="n">
        <x:v>0</x:v>
      </x:c>
      <x:c r="H13" s="15" t="n">
        <x:f>ROUNDUP(E13*G13,0)</x:f>
        <x:v>0</x:v>
      </x:c>
      <x:c r="I13" s="15" t="n">
        <x:f>E13+H13</x:f>
        <x:v>4</x:v>
      </x:c>
      <x:c r="J13" s="14" t="str">
        <x:v>M07</x:v>
      </x:c>
      <x:c r="K13" s="14" t="str">
        <x:v>核对等级、头部包络及实物孔隙</x:v>
      </x:c>
    </x:row>
    <x:row r="14" ht="40" customHeight="1">
      <x:c r="A14" s="14" t="str">
        <x:v>ISO4032|M2.5|8|steel|zinc|AF5_t2</x:v>
      </x:c>
      <x:c r="B14" s="14" t="str">
        <x:v>六角螺母</x:v>
      </x:c>
      <x:c r="C14" s="14" t="str">
        <x:v>ISO4032 M2.5x0.45; AF5 x t2</x:v>
      </x:c>
      <x:c r="D14" s="14" t="str">
        <x:v>钢8；镀锌</x:v>
      </x:c>
      <x:c r="E14" s="15" t="n">
        <x:f>SUMIFS('完整BOM'!$E$8:$E$90,'完整BOM'!$M$8:$M$90,A14)</x:f>
        <x:v>6</x:v>
      </x:c>
      <x:c r="F14" s="16" t="str">
        <x:v>件</x:v>
      </x:c>
      <x:c r="G14" s="18" t="n">
        <x:v>0</x:v>
      </x:c>
      <x:c r="H14" s="15" t="n">
        <x:f>ROUNDUP(E14*G14,0)</x:f>
        <x:v>0</x:v>
      </x:c>
      <x:c r="I14" s="15" t="n">
        <x:f>E14+H14</x:f>
        <x:v>6</x:v>
      </x:c>
      <x:c r="J14" s="14" t="str">
        <x:v>M04、M07</x:v>
      </x:c>
      <x:c r="K14" s="14" t="str">
        <x:v>按列明头径/强度等级采购</x:v>
      </x:c>
    </x:row>
    <x:row r="15" ht="40" customHeight="1">
      <x:c r="A15" s="14" t="str">
        <x:v>ISO4032|M3|8|steel|zinc|AF5.5_t2.4</x:v>
      </x:c>
      <x:c r="B15" s="14" t="str">
        <x:v>六角螺母</x:v>
      </x:c>
      <x:c r="C15" s="14" t="str">
        <x:v>ISO4032 M3x0.5; AF5.5 x t2.4</x:v>
      </x:c>
      <x:c r="D15" s="14" t="str">
        <x:v>钢8；镀锌</x:v>
      </x:c>
      <x:c r="E15" s="15" t="n">
        <x:f>SUMIFS('完整BOM'!$E$8:$E$90,'完整BOM'!$M$8:$M$90,A15)</x:f>
        <x:v>26</x:v>
      </x:c>
      <x:c r="F15" s="16" t="str">
        <x:v>件</x:v>
      </x:c>
      <x:c r="G15" s="18" t="n">
        <x:v>0</x:v>
      </x:c>
      <x:c r="H15" s="15" t="n">
        <x:f>ROUNDUP(E15*G15,0)</x:f>
        <x:v>0</x:v>
      </x:c>
      <x:c r="I15" s="15" t="n">
        <x:f>E15+H15</x:f>
        <x:v>26</x:v>
      </x:c>
      <x:c r="J15" s="14" t="str">
        <x:v>M04、M05、M06、M07</x:v>
      </x:c>
      <x:c r="K15" s="14" t="str">
        <x:v>按列明头径/强度等级采购</x:v>
      </x:c>
    </x:row>
    <x:row r="16" ht="34" customHeight="1">
      <x:c r="A16" s="14" t="str">
        <x:v>ISO4032|M4|8|steel|zinc</x:v>
      </x:c>
      <x:c r="B16" s="14" t="str">
        <x:v>六角螺母</x:v>
      </x:c>
      <x:c r="C16" s="14" t="str">
        <x:v>ISO4032 M4；AF7×3.2</x:v>
      </x:c>
      <x:c r="D16" s="14" t="str">
        <x:v>钢8级；镀锌</x:v>
      </x:c>
      <x:c r="E16" s="15" t="n">
        <x:f>SUMIFS('完整BOM'!$E$8:$E$90,'完整BOM'!$M$8:$M$90,A16)</x:f>
        <x:v>8</x:v>
      </x:c>
      <x:c r="F16" s="16" t="str">
        <x:v>件</x:v>
      </x:c>
      <x:c r="G16" s="18" t="n">
        <x:v>0</x:v>
      </x:c>
      <x:c r="H16" s="15" t="n">
        <x:f>ROUNDUP(E16*G16,0)</x:f>
        <x:v>0</x:v>
      </x:c>
      <x:c r="I16" s="15" t="n">
        <x:f>E16+H16</x:f>
        <x:v>8</x:v>
      </x:c>
      <x:c r="J16" s="14" t="str">
        <x:v>M03</x:v>
      </x:c>
      <x:c r="K16" s="14" t="str">
        <x:v>原型装配规格；未验证跳跃强度</x:v>
      </x:c>
    </x:row>
    <x:row r="17" ht="40" customHeight="1">
      <x:c r="A17" s="14" t="str">
        <x:v>ISO4762|M1.6x10|8.8|steel|black</x:v>
      </x:c>
      <x:c r="B17" s="14" t="str">
        <x:v>内六角圆柱头螺钉</x:v>
      </x:c>
      <x:c r="C17" s="14" t="str">
        <x:v>ISO4762 M1.6×10</x:v>
      </x:c>
      <x:c r="D17" s="14" t="str">
        <x:v>钢8.8；发黑</x:v>
      </x:c>
      <x:c r="E17" s="15" t="n">
        <x:f>SUMIFS('完整BOM'!$E$8:$E$90,'完整BOM'!$M$8:$M$90,A17)</x:f>
        <x:v>4</x:v>
      </x:c>
      <x:c r="F17" s="16" t="str">
        <x:v>件</x:v>
      </x:c>
      <x:c r="G17" s="18" t="n">
        <x:v>0</x:v>
      </x:c>
      <x:c r="H17" s="15" t="n">
        <x:f>ROUNDUP(E17*G17,0)</x:f>
        <x:v>0</x:v>
      </x:c>
      <x:c r="I17" s="15" t="n">
        <x:f>E17+H17</x:f>
        <x:v>4</x:v>
      </x:c>
      <x:c r="J17" s="14" t="str">
        <x:v>M07</x:v>
      </x:c>
      <x:c r="K17" s="14" t="str">
        <x:v>核对等级、头部包络及实物孔隙</x:v>
      </x:c>
    </x:row>
    <x:row r="18" ht="40" customHeight="1">
      <x:c r="A18" s="14" t="str">
        <x:v>ISO4762|M2.5x12|8.8|steel|black|smooth_headD4.5</x:v>
      </x:c>
      <x:c r="B18" s="14" t="str">
        <x:v>内六角圆柱头螺钉</x:v>
      </x:c>
      <x:c r="C18" s="14" t="str">
        <x:v>ISO4762 M2.5×12</x:v>
      </x:c>
      <x:c r="D18" s="14" t="str">
        <x:v>钢8.8；发黑</x:v>
      </x:c>
      <x:c r="E18" s="15" t="n">
        <x:f>SUMIFS('完整BOM'!$E$8:$E$90,'完整BOM'!$M$8:$M$90,A18)</x:f>
        <x:v>4</x:v>
      </x:c>
      <x:c r="F18" s="16" t="str">
        <x:v>件</x:v>
      </x:c>
      <x:c r="G18" s="18" t="n">
        <x:v>0</x:v>
      </x:c>
      <x:c r="H18" s="15" t="n">
        <x:f>ROUNDUP(E18*G18,0)</x:f>
        <x:v>0</x:v>
      </x:c>
      <x:c r="I18" s="15" t="n">
        <x:f>E18+H18</x:f>
        <x:v>4</x:v>
      </x:c>
      <x:c r="J18" s="14" t="str">
        <x:v>M07</x:v>
      </x:c>
      <x:c r="K18" s="14" t="str">
        <x:v>核对等级、头部包络及实物孔隙</x:v>
      </x:c>
    </x:row>
    <x:row r="19" ht="40" customHeight="1">
      <x:c r="A19" s="14" t="str">
        <x:v>ISO4762|M2.5x16|8.8|steel|black|smooth_headD4.5</x:v>
      </x:c>
      <x:c r="B19" s="14" t="str">
        <x:v>内六角圆柱头螺钉</x:v>
      </x:c>
      <x:c r="C19" s="14" t="str">
        <x:v>ISO4762 M2.5x0.45 x 16</x:v>
      </x:c>
      <x:c r="D19" s="14" t="str">
        <x:v>钢8.8；发黑</x:v>
      </x:c>
      <x:c r="E19" s="15" t="n">
        <x:f>SUMIFS('完整BOM'!$E$8:$E$90,'完整BOM'!$M$8:$M$90,A19)</x:f>
        <x:v>2</x:v>
      </x:c>
      <x:c r="F19" s="16" t="str">
        <x:v>件</x:v>
      </x:c>
      <x:c r="G19" s="18" t="n">
        <x:v>0</x:v>
      </x:c>
      <x:c r="H19" s="15" t="n">
        <x:f>ROUNDUP(E19*G19,0)</x:f>
        <x:v>0</x:v>
      </x:c>
      <x:c r="I19" s="15" t="n">
        <x:f>E19+H19</x:f>
        <x:v>2</x:v>
      </x:c>
      <x:c r="J19" s="14" t="str">
        <x:v>M04</x:v>
      </x:c>
      <x:c r="K19" s="14" t="str">
        <x:v>按列明头径/强度等级采购</x:v>
      </x:c>
    </x:row>
    <x:row r="20" ht="40" customHeight="1">
      <x:c r="A20" s="14" t="str">
        <x:v>ISO4762|M3x10|8.8|steel|black</x:v>
      </x:c>
      <x:c r="B20" s="14" t="str">
        <x:v>内六角圆柱头螺钉</x:v>
      </x:c>
      <x:c r="C20" s="14" t="str">
        <x:v>ISO4762 M3x0.5 x 10</x:v>
      </x:c>
      <x:c r="D20" s="14" t="str">
        <x:v>钢8.8；发黑</x:v>
      </x:c>
      <x:c r="E20" s="15" t="n">
        <x:f>SUMIFS('完整BOM'!$E$8:$E$90,'完整BOM'!$M$8:$M$90,A20)</x:f>
        <x:v>10</x:v>
      </x:c>
      <x:c r="F20" s="16" t="str">
        <x:v>件</x:v>
      </x:c>
      <x:c r="G20" s="18" t="n">
        <x:v>0</x:v>
      </x:c>
      <x:c r="H20" s="15" t="n">
        <x:f>ROUNDUP(E20*G20,0)</x:f>
        <x:v>0</x:v>
      </x:c>
      <x:c r="I20" s="15" t="n">
        <x:f>E20+H20</x:f>
        <x:v>10</x:v>
      </x:c>
      <x:c r="J20" s="14" t="str">
        <x:v>M04、M05、M06</x:v>
      </x:c>
      <x:c r="K20" s="14" t="str">
        <x:v>按列明头径/强度等级采购</x:v>
      </x:c>
    </x:row>
    <x:row r="21" ht="40" customHeight="1">
      <x:c r="A21" s="14" t="str">
        <x:v>ISO4762|M3x12|8.8|steel|black</x:v>
      </x:c>
      <x:c r="B21" s="14" t="str">
        <x:v>内六角圆柱头螺钉</x:v>
      </x:c>
      <x:c r="C21" s="14" t="str">
        <x:v>ISO4762 M3x0.5 x 12</x:v>
      </x:c>
      <x:c r="D21" s="14" t="str">
        <x:v>钢8.8；发黑</x:v>
      </x:c>
      <x:c r="E21" s="15" t="n">
        <x:f>SUMIFS('完整BOM'!$E$8:$E$90,'完整BOM'!$M$8:$M$90,A21)</x:f>
        <x:v>16</x:v>
      </x:c>
      <x:c r="F21" s="16" t="str">
        <x:v>件</x:v>
      </x:c>
      <x:c r="G21" s="18" t="n">
        <x:v>0</x:v>
      </x:c>
      <x:c r="H21" s="15" t="n">
        <x:f>ROUNDUP(E21*G21,0)</x:f>
        <x:v>0</x:v>
      </x:c>
      <x:c r="I21" s="15" t="n">
        <x:f>E21+H21</x:f>
        <x:v>16</x:v>
      </x:c>
      <x:c r="J21" s="14" t="str">
        <x:v>M05、M06、M07</x:v>
      </x:c>
      <x:c r="K21" s="14" t="str">
        <x:v>按列明头径/强度等级采购</x:v>
      </x:c>
    </x:row>
    <x:row r="22" ht="40" customHeight="1">
      <x:c r="A22" s="14" t="str">
        <x:v>ISO4762|M3x16|8.8|steel|black</x:v>
      </x:c>
      <x:c r="B22" s="14" t="str">
        <x:v>内六角圆柱头螺钉</x:v>
      </x:c>
      <x:c r="C22" s="14" t="str">
        <x:v>ISO4762 M3×16</x:v>
      </x:c>
      <x:c r="D22" s="14" t="str">
        <x:v>钢8.8；发黑</x:v>
      </x:c>
      <x:c r="E22" s="15" t="n">
        <x:f>SUMIFS('完整BOM'!$E$8:$E$90,'完整BOM'!$M$8:$M$90,A22)</x:f>
        <x:v>14</x:v>
      </x:c>
      <x:c r="F22" s="16" t="str">
        <x:v>件</x:v>
      </x:c>
      <x:c r="G22" s="18" t="n">
        <x:v>0</x:v>
      </x:c>
      <x:c r="H22" s="15" t="n">
        <x:f>ROUNDUP(E22*G22,0)</x:f>
        <x:v>0</x:v>
      </x:c>
      <x:c r="I22" s="15" t="n">
        <x:f>E22+H22</x:f>
        <x:v>14</x:v>
      </x:c>
      <x:c r="J22" s="14" t="str">
        <x:v>M01、M02、M06</x:v>
      </x:c>
      <x:c r="K22" s="14" t="str">
        <x:v>原型装配规格；未验证跳跃强度</x:v>
      </x:c>
    </x:row>
    <x:row r="23" ht="40" customHeight="1">
      <x:c r="A23" s="14" t="str">
        <x:v>ISO4762|M3x20|8.8|steel|black</x:v>
      </x:c>
      <x:c r="B23" s="14" t="str">
        <x:v>内六角圆柱头螺钉</x:v>
      </x:c>
      <x:c r="C23" s="14" t="str">
        <x:v>ISO4762 M3x0.5 x 20</x:v>
      </x:c>
      <x:c r="D23" s="14" t="str">
        <x:v>钢8.8；发黑</x:v>
      </x:c>
      <x:c r="E23" s="15" t="n">
        <x:f>SUMIFS('完整BOM'!$E$8:$E$90,'完整BOM'!$M$8:$M$90,A23)</x:f>
        <x:v>8</x:v>
      </x:c>
      <x:c r="F23" s="16" t="str">
        <x:v>件</x:v>
      </x:c>
      <x:c r="G23" s="18" t="n">
        <x:v>0</x:v>
      </x:c>
      <x:c r="H23" s="15" t="n">
        <x:f>ROUNDUP(E23*G23,0)</x:f>
        <x:v>0</x:v>
      </x:c>
      <x:c r="I23" s="15" t="n">
        <x:f>E23+H23</x:f>
        <x:v>8</x:v>
      </x:c>
      <x:c r="J23" s="14" t="str">
        <x:v>M05、M06</x:v>
      </x:c>
      <x:c r="K23" s="14" t="str">
        <x:v>按列明头径/强度等级采购</x:v>
      </x:c>
    </x:row>
    <x:row r="24" ht="40" customHeight="1">
      <x:c r="A24" s="14" t="str">
        <x:v>ISO4762|M3x8|8.8|steel|black</x:v>
      </x:c>
      <x:c r="B24" s="14" t="str">
        <x:v>内六角圆柱头螺钉</x:v>
      </x:c>
      <x:c r="C24" s="14" t="str">
        <x:v>ISO4762 M3×8</x:v>
      </x:c>
      <x:c r="D24" s="14" t="str">
        <x:v>钢8.8；发黑</x:v>
      </x:c>
      <x:c r="E24" s="15" t="n">
        <x:f>SUMIFS('完整BOM'!$E$8:$E$90,'完整BOM'!$M$8:$M$90,A24)</x:f>
        <x:v>46</x:v>
      </x:c>
      <x:c r="F24" s="16" t="str">
        <x:v>件</x:v>
      </x:c>
      <x:c r="G24" s="18" t="n">
        <x:v>0</x:v>
      </x:c>
      <x:c r="H24" s="15" t="n">
        <x:f>ROUNDUP(E24*G24,0)</x:f>
        <x:v>0</x:v>
      </x:c>
      <x:c r="I24" s="15" t="n">
        <x:f>E24+H24</x:f>
        <x:v>46</x:v>
      </x:c>
      <x:c r="J24" s="14" t="str">
        <x:v>M01、M02、M04、M05、M07</x:v>
      </x:c>
      <x:c r="K24" s="14" t="str">
        <x:v>原型装配规格；未验证跳跃强度</x:v>
      </x:c>
    </x:row>
    <x:row r="25" ht="40" customHeight="1">
      <x:c r="A25" s="14" t="str">
        <x:v>ISO7089|M3_3.2x7x0.5|200HV|steel|zinc</x:v>
      </x:c>
      <x:c r="B25" s="14" t="str">
        <x:v>普通平垫圈</x:v>
      </x:c>
      <x:c r="C25" s="14" t="str">
        <x:v>ISO7089 M3; ID3.2 x OD7 x t0.5</x:v>
      </x:c>
      <x:c r="D25" s="14" t="str">
        <x:v>钢200 HV；镀锌</x:v>
      </x:c>
      <x:c r="E25" s="15" t="n">
        <x:f>SUMIFS('完整BOM'!$E$8:$E$90,'完整BOM'!$M$8:$M$90,A25)</x:f>
        <x:v>4</x:v>
      </x:c>
      <x:c r="F25" s="16" t="str">
        <x:v>件</x:v>
      </x:c>
      <x:c r="G25" s="18" t="n">
        <x:v>0</x:v>
      </x:c>
      <x:c r="H25" s="15" t="n">
        <x:f>ROUNDUP(E25*G25,0)</x:f>
        <x:v>0</x:v>
      </x:c>
      <x:c r="I25" s="15" t="n">
        <x:f>E25+H25</x:f>
        <x:v>4</x:v>
      </x:c>
      <x:c r="J25" s="14" t="str">
        <x:v>M04</x:v>
      </x:c>
      <x:c r="K25" s="14" t="str">
        <x:v>按列明头径/强度等级采购</x:v>
      </x:c>
    </x:row>
    <x:row r="26" ht="40" customHeight="1">
      <x:c r="A26" s="14" t="str">
        <x:v>ISO7089|M4|200HV|steel|zinc</x:v>
      </x:c>
      <x:c r="B26" s="14" t="str">
        <x:v>普通平垫圈</x:v>
      </x:c>
      <x:c r="C26" s="14" t="str">
        <x:v>ISO7089 M4；Ø4.3/Ø9×0.8</x:v>
      </x:c>
      <x:c r="D26" s="14" t="str">
        <x:v>钢200HV；镀锌</x:v>
      </x:c>
      <x:c r="E26" s="15" t="n">
        <x:f>SUMIFS('完整BOM'!$E$8:$E$90,'完整BOM'!$M$8:$M$90,A26)</x:f>
        <x:v>8</x:v>
      </x:c>
      <x:c r="F26" s="16" t="str">
        <x:v>件</x:v>
      </x:c>
      <x:c r="G26" s="18" t="n">
        <x:v>0</x:v>
      </x:c>
      <x:c r="H26" s="15" t="n">
        <x:f>ROUNDUP(E26*G26,0)</x:f>
        <x:v>0</x:v>
      </x:c>
      <x:c r="I26" s="15" t="n">
        <x:f>E26+H26</x:f>
        <x:v>8</x:v>
      </x:c>
      <x:c r="J26" s="14" t="str">
        <x:v>M03</x:v>
      </x:c>
      <x:c r="K26" s="14" t="str">
        <x:v>原型装配规格；未验证跳跃强度</x:v>
      </x:c>
    </x:row>
    <x:row r="27" ht="40" customHeight="1">
      <x:c r="A27" s="14" t="str">
        <x:v>NBK|SETS-M2-4|SUSXM7_A2|plain</x:v>
      </x:c>
      <x:c r="B27" s="14" t="str">
        <x:v>超薄头内六角花形螺钉</x:v>
      </x:c>
      <x:c r="C27" s="14" t="str">
        <x:v>NBK SETS-M2-4；头Ø4×0.5，TX4</x:v>
      </x:c>
      <x:c r="D27" s="14" t="str">
        <x:v>SUSXM7；A2；原厂本色</x:v>
      </x:c>
      <x:c r="E27" s="15" t="n">
        <x:f>SUMIFS('完整BOM'!$E$8:$E$90,'完整BOM'!$M$8:$M$90,A27)</x:f>
        <x:v>30</x:v>
      </x:c>
      <x:c r="F27" s="16" t="str">
        <x:v>件</x:v>
      </x:c>
      <x:c r="G27" s="18" t="n">
        <x:v>0</x:v>
      </x:c>
      <x:c r="H27" s="15" t="n">
        <x:f>ROUNDUP(E27*G27,0)</x:f>
        <x:v>0</x:v>
      </x:c>
      <x:c r="I27" s="15" t="n">
        <x:f>E27+H27</x:f>
        <x:v>30</x:v>
      </x:c>
      <x:c r="J27" s="14" t="str">
        <x:v>M01、M02</x:v>
      </x:c>
      <x:c r="K27" s="14" t="str">
        <x:v>原型装配规格；未验证跳跃强度</x:v>
      </x:c>
    </x:row>
    <x:row r="28" ht="40" customHeight="1">
      <x:c r="A28" s="14" t="str">
        <x:v>NBK|SLH-M3-6-SD|8.8|black_oxide</x:v>
      </x:c>
      <x:c r="B28" s="14" t="str">
        <x:v>低头小头螺钉</x:v>
      </x:c>
      <x:c r="C28" s="14" t="str">
        <x:v>NBK SLH-M3-6-SD；头Ø4.5×2，内六角2</x:v>
      </x:c>
      <x:c r="D28" s="14" t="str">
        <x:v>SWCH45K；8.8；发黑</x:v>
      </x:c>
      <x:c r="E28" s="15" t="n">
        <x:f>SUMIFS('完整BOM'!$E$8:$E$90,'完整BOM'!$M$8:$M$90,A28)</x:f>
        <x:v>20</x:v>
      </x:c>
      <x:c r="F28" s="16" t="str">
        <x:v>件</x:v>
      </x:c>
      <x:c r="G28" s="18" t="n">
        <x:v>0</x:v>
      </x:c>
      <x:c r="H28" s="15" t="n">
        <x:f>ROUNDUP(E28*G28,0)</x:f>
        <x:v>0</x:v>
      </x:c>
      <x:c r="I28" s="15" t="n">
        <x:f>E28+H28</x:f>
        <x:v>20</x:v>
      </x:c>
      <x:c r="J28" s="14" t="str">
        <x:v>M01、M02</x:v>
      </x:c>
      <x:c r="K28" s="14" t="str">
        <x:v>原型装配规格；未验证跳跃强度</x:v>
      </x:c>
    </x:row>
    <x:row r="29" ht="40" customHeight="1">
      <x:c r="A29" s="14" t="str">
        <x:v>NBK|SLH-M3-8-SD|8.8|black_oxide</x:v>
      </x:c>
      <x:c r="B29" s="14" t="str">
        <x:v>低头小头螺钉</x:v>
      </x:c>
      <x:c r="C29" s="14" t="str">
        <x:v>NBK SLH-M3-8-SD；头Ø4.5×2，内六角2</x:v>
      </x:c>
      <x:c r="D29" s="14" t="str">
        <x:v>SWCH45K；8.8；发黑</x:v>
      </x:c>
      <x:c r="E29" s="15" t="n">
        <x:f>SUMIFS('完整BOM'!$E$8:$E$90,'完整BOM'!$M$8:$M$90,A29)</x:f>
        <x:v>8</x:v>
      </x:c>
      <x:c r="F29" s="16" t="str">
        <x:v>件</x:v>
      </x:c>
      <x:c r="G29" s="18" t="n">
        <x:v>0</x:v>
      </x:c>
      <x:c r="H29" s="15" t="n">
        <x:f>ROUNDUP(E29*G29,0)</x:f>
        <x:v>0</x:v>
      </x:c>
      <x:c r="I29" s="15" t="n">
        <x:f>E29+H29</x:f>
        <x:v>8</x:v>
      </x:c>
      <x:c r="J29" s="14" t="str">
        <x:v>M01、M02</x:v>
      </x:c>
      <x:c r="K29" s="14" t="str">
        <x:v>原型装配规格；未验证跳跃强度</x:v>
      </x:c>
    </x:row>
    <x:row r="30" ht="40" customHeight="1">
      <x:c r="A30" s="14" t="str">
        <x:v>NSK|626ZZ1|standard_clearance|ZZ</x:v>
      </x:c>
      <x:c r="B30" s="14" t="str">
        <x:v>深沟球轴承</x:v>
      </x:c>
      <x:c r="C30" s="14" t="str">
        <x:v>NSK626ZZ1；6×19×6；金属防尘盖</x:v>
      </x:c>
      <x:c r="D30" s="14" t="str">
        <x:v>原厂轴承钢</x:v>
      </x:c>
      <x:c r="E30" s="15" t="n">
        <x:f>SUMIFS('完整BOM'!$E$8:$E$90,'完整BOM'!$M$8:$M$90,A30)</x:f>
        <x:v>6</x:v>
      </x:c>
      <x:c r="F30" s="16" t="str">
        <x:v>件</x:v>
      </x:c>
      <x:c r="G30" s="18" t="n">
        <x:v>0</x:v>
      </x:c>
      <x:c r="H30" s="15" t="n">
        <x:f>ROUNDUP(E30*G30,0)</x:f>
        <x:v>0</x:v>
      </x:c>
      <x:c r="I30" s="15" t="n">
        <x:f>E30+H30</x:f>
        <x:v>6</x:v>
      </x:c>
      <x:c r="J30" s="14" t="str">
        <x:v>M01、M02</x:v>
      </x:c>
      <x:c r="K30" s="14" t="str">
        <x:v>原型装配规格；未验证跳跃强度</x:v>
      </x:c>
    </x:row>
  </x:sheetData>
  <x:dataValidations count="1">
    <x:dataValidation type="decimal" operator="between" sqref="G8:G30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d550edef1164495"/>
  </x:tableParts>
</x:worksheet>
</file>

<file path=xl/worksheets/sheet2.xml><?xml version="1.0" encoding="utf-8"?>
<x:worksheet xmlns:x="http://schemas.openxmlformats.org/spreadsheetml/2006/main">
  <x:sheetPr>
    <x:tabColor rgb="FF294459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7" hidden="0" customWidth="1"/>
    <x:col min="2" max="2" width="18" hidden="0" customWidth="1"/>
    <x:col min="3" max="3" width="31" hidden="0" customWidth="1"/>
    <x:col min="4" max="4" width="8" hidden="0" customWidth="1"/>
    <x:col min="5" max="5" width="22" hidden="0" customWidth="1"/>
    <x:col min="6" max="6" width="21" hidden="0" customWidth="1"/>
    <x:col min="7" max="7" width="15" hidden="0" customWidth="1"/>
    <x:col min="8" max="8" width="70" hidden="0" customWidth="1"/>
    <x:col min="9" max="9" width="3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制造件分类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</x:row>
    <x:row r="4">
      <x:c r="A4" s="5" t="str">
        <x:v>按制造工艺筛选发包。钣金替代方案若未展开图验证，不作为当前可直接加工方案。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5" t="str">
        <x:v>M01 左腿预装总成；M02 右腿预装总成；M03 承力机架与总装接口件；M04 电器仓子模块；M05 屏幕相机前脸总成；M06 外壳套件；M07 前部配电通信服务模块；M08 后部USB扩展模块</x:v>
      </x:c>
      <x:c r="B6" s="2"/>
      <x:c r="C6" s="2"/>
      <x:c r="D6" s="2"/>
      <x:c r="E6" s="2"/>
      <x:c r="F6" s="2"/>
      <x:c r="G6" s="2"/>
      <x:c r="H6" s="2"/>
      <x:c r="I6" s="2"/>
    </x:row>
    <x:row r="7" ht="30" customHeight="1">
      <x:c r="A7" s="11" t="str">
        <x:v>零件ID</x:v>
      </x:c>
      <x:c r="B7" s="12" t="str">
        <x:v>装配模块</x:v>
      </x:c>
      <x:c r="C7" s="12" t="str">
        <x:v>零件名称</x:v>
      </x:c>
      <x:c r="D7" s="12" t="str">
        <x:v>数量</x:v>
      </x:c>
      <x:c r="E7" s="12" t="str">
        <x:v>材料/等级</x:v>
      </x:c>
      <x:c r="F7" s="12" t="str">
        <x:v>制造工艺</x:v>
      </x:c>
      <x:c r="G7" s="12" t="str">
        <x:v>供应方式</x:v>
      </x:c>
      <x:c r="H7" s="12" t="str">
        <x:v>关键加工或装配要求</x:v>
      </x:c>
      <x:c r="I7" s="13" t="str">
        <x:v>状态</x:v>
      </x:c>
    </x:row>
    <x:row r="8" ht="40" customHeight="1">
      <x:c r="A8" s="14" t="str">
        <x:v>P01</x:v>
      </x:c>
      <x:c r="B8" s="14" t="str">
        <x:v>M03</x:v>
      </x:c>
      <x:c r="C8" s="14" t="str">
        <x:v>机架底板</x:v>
      </x:c>
      <x:c r="D8" s="15" t="n">
        <x:f>SUMIFS('完整BOM'!$E$8:$E$90,'完整BOM'!$A$8:$A$90,A8)</x:f>
        <x:v>1</x:v>
      </x:c>
      <x:c r="E8" s="14" t="str">
        <x:v>6061-T6铝合金</x:v>
      </x:c>
      <x:c r="F8" s="14" t="str">
        <x:v>CNC铣削/车铣</x:v>
      </x:c>
      <x:c r="G8" s="14" t="str">
        <x:v>定制金属件</x:v>
      </x:c>
      <x:c r="H8" s="14" t="str">
        <x:v>承力或刚性定位件；6061-T6 CNC，螺纹/轴承座/薄耳需精加工；不可直接替换普通钣金或PETG。</x:v>
      </x:c>
      <x:c r="I8" s="14" t="str">
        <x:v>样机首件；按公差说明验收</x:v>
      </x:c>
    </x:row>
    <x:row r="9" ht="40" customHeight="1">
      <x:c r="A9" s="14" t="str">
        <x:v>P02</x:v>
      </x:c>
      <x:c r="B9" s="14" t="str">
        <x:v>M03</x:v>
      </x:c>
      <x:c r="C9" s="14" t="str">
        <x:v>右承力侧框</x:v>
      </x:c>
      <x:c r="D9" s="15" t="n">
        <x:f>SUMIFS('完整BOM'!$E$8:$E$90,'完整BOM'!$A$8:$A$90,A9)</x:f>
        <x:v>1</x:v>
      </x:c>
      <x:c r="E9" s="14" t="str">
        <x:v>6061-T6铝合金</x:v>
      </x:c>
      <x:c r="F9" s="14" t="str">
        <x:v>CNC铣削/车铣</x:v>
      </x:c>
      <x:c r="G9" s="14" t="str">
        <x:v>定制金属件</x:v>
      </x:c>
      <x:c r="H9" s="14" t="str">
        <x:v>承力或刚性定位件；6061-T6 CNC，螺纹/轴承座/薄耳需精加工；不可直接替换普通钣金或PETG。</x:v>
      </x:c>
      <x:c r="I9" s="14" t="str">
        <x:v>样机首件；按公差说明验收</x:v>
      </x:c>
    </x:row>
    <x:row r="10" ht="40" customHeight="1">
      <x:c r="A10" s="14" t="str">
        <x:v>P03</x:v>
      </x:c>
      <x:c r="B10" s="14" t="str">
        <x:v>M03</x:v>
      </x:c>
      <x:c r="C10" s="14" t="str">
        <x:v>左承力侧框</x:v>
      </x:c>
      <x:c r="D10" s="15" t="n">
        <x:f>SUMIFS('完整BOM'!$E$8:$E$90,'完整BOM'!$A$8:$A$90,A10)</x:f>
        <x:v>1</x:v>
      </x:c>
      <x:c r="E10" s="14" t="str">
        <x:v>6061-T6铝合金</x:v>
      </x:c>
      <x:c r="F10" s="14" t="str">
        <x:v>CNC铣削/车铣</x:v>
      </x:c>
      <x:c r="G10" s="14" t="str">
        <x:v>定制金属件</x:v>
      </x:c>
      <x:c r="H10" s="14" t="str">
        <x:v>承力或刚性定位件；6061-T6 CNC，螺纹/轴承座/薄耳需精加工；不可直接替换普通钣金或PETG。</x:v>
      </x:c>
      <x:c r="I10" s="14" t="str">
        <x:v>样机首件；按公差说明验收</x:v>
      </x:c>
    </x:row>
    <x:row r="11" ht="55" customHeight="1">
      <x:c r="A11" s="14" t="str">
        <x:v>P04</x:v>
      </x:c>
      <x:c r="B11" s="14" t="str">
        <x:v>M03</x:v>
      </x:c>
      <x:c r="C11" s="14" t="str">
        <x:v>前后通用横框</x:v>
      </x:c>
      <x:c r="D11" s="15" t="n">
        <x:f>SUMIFS('完整BOM'!$E$8:$E$90,'完整BOM'!$A$8:$A$90,A11)</x:f>
        <x:v>2</x:v>
      </x:c>
      <x:c r="E11" s="14" t="str">
        <x:v>6061-T6铝合金</x:v>
      </x:c>
      <x:c r="F11" s="14" t="str">
        <x:v>CNC铣削/车铣</x:v>
      </x:c>
      <x:c r="G11" s="14" t="str">
        <x:v>定制金属件</x:v>
      </x:c>
      <x:c r="H11" s="14" t="str">
        <x:v>承力或刚性定位件；6061-T6 CNC，螺纹/轴承座/薄耳需精加工；不可直接替换普通钣金或PETG。同一制造型号加工2件，按装配方向翻转；等形证据见别名审查。</x:v>
      </x:c>
      <x:c r="I11" s="14" t="str">
        <x:v>样机首件；按公差说明验收</x:v>
      </x:c>
    </x:row>
    <x:row r="12" ht="40" customHeight="1">
      <x:c r="A12" s="14" t="str">
        <x:v>P05</x:v>
      </x:c>
      <x:c r="B12" s="14" t="str">
        <x:v>M06</x:v>
      </x:c>
      <x:c r="C12" s="14" t="str">
        <x:v>前主壳</x:v>
      </x:c>
      <x:c r="D12" s="15" t="n">
        <x:f>SUMIFS('完整BOM'!$E$8:$E$90,'完整BOM'!$A$8:$A$90,A12)</x:f>
        <x:v>1</x:v>
      </x:c>
      <x:c r="E12" s="14" t="str">
        <x:v>PETG</x:v>
      </x:c>
      <x:c r="F12" s="14" t="str">
        <x:v>FDM 3D打印</x:v>
      </x:c>
      <x:c r="G12" s="14" t="str">
        <x:v>3D打印件</x:v>
      </x:c>
      <x:c r="H12" s="14" t="str">
        <x:v>0.4喷嘴PETG；先打印孔/螺母槽试片，参见公差与装配说明。 V8.2已更新外形/接口，制造必须使用本版导出。</x:v>
      </x:c>
      <x:c r="I12" s="14" t="str">
        <x:v>样机首件；按公差说明验收</x:v>
      </x:c>
    </x:row>
    <x:row r="13" ht="40" customHeight="1">
      <x:c r="A13" s="14" t="str">
        <x:v>P06</x:v>
      </x:c>
      <x:c r="B13" s="14" t="str">
        <x:v>M06</x:v>
      </x:c>
      <x:c r="C13" s="14" t="str">
        <x:v>后检修壳</x:v>
      </x:c>
      <x:c r="D13" s="15" t="n">
        <x:f>SUMIFS('完整BOM'!$E$8:$E$90,'完整BOM'!$A$8:$A$90,A13)</x:f>
        <x:v>1</x:v>
      </x:c>
      <x:c r="E13" s="14" t="str">
        <x:v>PETG</x:v>
      </x:c>
      <x:c r="F13" s="14" t="str">
        <x:v>FDM 3D打印</x:v>
      </x:c>
      <x:c r="G13" s="14" t="str">
        <x:v>3D打印件</x:v>
      </x:c>
      <x:c r="H13" s="14" t="str">
        <x:v>0.4喷嘴PETG；先打印孔/螺母槽试片，参见公差与装配说明。 V8.2已更新外形/接口，制造必须使用本版导出。</x:v>
      </x:c>
      <x:c r="I13" s="14" t="str">
        <x:v>样机首件；按公差说明验收</x:v>
      </x:c>
    </x:row>
    <x:row r="14" ht="40" customHeight="1">
      <x:c r="A14" s="14" t="str">
        <x:v>P07</x:v>
      </x:c>
      <x:c r="B14" s="14" t="str">
        <x:v>M05</x:v>
      </x:c>
      <x:c r="C14" s="14" t="str">
        <x:v>屏幕相机前脸板</x:v>
      </x:c>
      <x:c r="D14" s="15" t="n">
        <x:f>SUMIFS('完整BOM'!$E$8:$E$90,'完整BOM'!$A$8:$A$90,A14)</x:f>
        <x:v>1</x:v>
      </x:c>
      <x:c r="E14" s="14" t="str">
        <x:v>PETG</x:v>
      </x:c>
      <x:c r="F14" s="14" t="str">
        <x:v>FDM 3D打印</x:v>
      </x:c>
      <x:c r="G14" s="14" t="str">
        <x:v>3D打印件</x:v>
      </x:c>
      <x:c r="H14" s="14" t="str">
        <x:v>0.4喷嘴PETG；先打印孔/螺母槽试片，参见公差与装配说明。5寸GK-HD屏，装机前核实四角接触金属外框。</x:v>
      </x:c>
      <x:c r="I14" s="14" t="str">
        <x:v>样机首件；按公差说明验收</x:v>
      </x:c>
    </x:row>
    <x:row r="15" ht="40" customHeight="1">
      <x:c r="A15" s="14" t="str">
        <x:v>P08</x:v>
      </x:c>
      <x:c r="B15" s="14" t="str">
        <x:v>M06</x:v>
      </x:c>
      <x:c r="C15" s="14" t="str">
        <x:v>左右通用肩罩</x:v>
      </x:c>
      <x:c r="D15" s="15" t="n">
        <x:f>SUMIFS('完整BOM'!$E$8:$E$90,'完整BOM'!$A$8:$A$90,A15)</x:f>
        <x:v>2</x:v>
      </x:c>
      <x:c r="E15" s="14" t="str">
        <x:v>PETG</x:v>
      </x:c>
      <x:c r="F15" s="14" t="str">
        <x:v>FDM 3D打印</x:v>
      </x:c>
      <x:c r="G15" s="14" t="str">
        <x:v>3D打印件</x:v>
      </x:c>
      <x:c r="H15" s="14" t="str">
        <x:v>0.4喷嘴PETG；先打印孔/螺母槽试片，参见公差与装配说明。同一制造型号加工2件，按装配方向翻转；等形证据见别名审查。</x:v>
      </x:c>
      <x:c r="I15" s="14" t="str">
        <x:v>样机首件；按公差说明验收</x:v>
      </x:c>
    </x:row>
    <x:row r="16" ht="40" customHeight="1">
      <x:c r="A16" s="14" t="str">
        <x:v>P09</x:v>
      </x:c>
      <x:c r="B16" s="14" t="str">
        <x:v>M04</x:v>
      </x:c>
      <x:c r="C16" s="14" t="str">
        <x:v>电池托</x:v>
      </x:c>
      <x:c r="D16" s="15" t="n">
        <x:f>SUMIFS('完整BOM'!$E$8:$E$90,'完整BOM'!$A$8:$A$90,A16)</x:f>
        <x:v>1</x:v>
      </x:c>
      <x:c r="E16" s="14" t="str">
        <x:v>PETG</x:v>
      </x:c>
      <x:c r="F16" s="14" t="str">
        <x:v>FDM 3D打印</x:v>
      </x:c>
      <x:c r="G16" s="14" t="str">
        <x:v>3D打印件</x:v>
      </x:c>
      <x:c r="H16" s="14" t="str">
        <x:v>0.4喷嘴PETG；先打印孔/螺母槽试片，参见公差与装配说明。按WHEELTEC电池85.6×61.6×42、含磁底44.5设计；装拆及穿带见BATTERY.md。</x:v>
      </x:c>
      <x:c r="I16" s="14" t="str">
        <x:v>样机首件；按公差说明验收</x:v>
      </x:c>
    </x:row>
    <x:row r="17" ht="40" customHeight="1">
      <x:c r="A17" s="14" t="str">
        <x:v>P10</x:v>
      </x:c>
      <x:c r="B17" s="14" t="str">
        <x:v>M04</x:v>
      </x:c>
      <x:c r="C17" s="14" t="str">
        <x:v>电器托盘</x:v>
      </x:c>
      <x:c r="D17" s="15" t="n">
        <x:f>SUMIFS('完整BOM'!$E$8:$E$90,'完整BOM'!$A$8:$A$90,A17)</x:f>
        <x:v>1</x:v>
      </x:c>
      <x:c r="E17" s="14" t="str">
        <x:v>PETG</x:v>
      </x:c>
      <x:c r="F17" s="14" t="str">
        <x:v>FDM 3D打印</x:v>
      </x:c>
      <x:c r="G17" s="14" t="str">
        <x:v>3D打印件</x:v>
      </x:c>
      <x:c r="H17" s="14" t="str">
        <x:v>0.4喷嘴PETG；先打印孔/螺母槽试片，参见公差与装配说明。 V8.2已更新外形/接口，制造必须使用本版导出。</x:v>
      </x:c>
      <x:c r="I17" s="14" t="str">
        <x:v>样机首件；按公差说明验收</x:v>
      </x:c>
    </x:row>
    <x:row r="18" ht="34" customHeight="1">
      <x:c r="A18" s="14" t="str">
        <x:v>P11</x:v>
      </x:c>
      <x:c r="B18" s="14" t="str">
        <x:v>M04</x:v>
      </x:c>
      <x:c r="C18" s="14" t="str">
        <x:v>Jetson右夹座</x:v>
      </x:c>
      <x:c r="D18" s="15" t="n">
        <x:f>SUMIFS('完整BOM'!$E$8:$E$90,'完整BOM'!$A$8:$A$90,A18)</x:f>
        <x:v>1</x:v>
      </x:c>
      <x:c r="E18" s="14" t="str">
        <x:v>PETG</x:v>
      </x:c>
      <x:c r="F18" s="14" t="str">
        <x:v>FDM 3D打印</x:v>
      </x:c>
      <x:c r="G18" s="14" t="str">
        <x:v>3D打印件</x:v>
      </x:c>
      <x:c r="H18" s="14" t="str">
        <x:v>0.4喷嘴PETG；先打印孔/螺母槽试片，参见公差与装配说明。</x:v>
      </x:c>
      <x:c r="I18" s="14" t="str">
        <x:v>样机首件；按公差说明验收</x:v>
      </x:c>
    </x:row>
    <x:row r="19" ht="34" customHeight="1">
      <x:c r="A19" s="14" t="str">
        <x:v>P12</x:v>
      </x:c>
      <x:c r="B19" s="14" t="str">
        <x:v>M04</x:v>
      </x:c>
      <x:c r="C19" s="14" t="str">
        <x:v>Jetson左夹座</x:v>
      </x:c>
      <x:c r="D19" s="15" t="n">
        <x:f>SUMIFS('完整BOM'!$E$8:$E$90,'完整BOM'!$A$8:$A$90,A19)</x:f>
        <x:v>1</x:v>
      </x:c>
      <x:c r="E19" s="14" t="str">
        <x:v>PETG</x:v>
      </x:c>
      <x:c r="F19" s="14" t="str">
        <x:v>FDM 3D打印</x:v>
      </x:c>
      <x:c r="G19" s="14" t="str">
        <x:v>3D打印件</x:v>
      </x:c>
      <x:c r="H19" s="14" t="str">
        <x:v>0.4喷嘴PETG；先打印孔/螺母槽试片，参见公差与装配说明。</x:v>
      </x:c>
      <x:c r="I19" s="14" t="str">
        <x:v>样机首件；按公差说明验收</x:v>
      </x:c>
    </x:row>
    <x:row r="20" ht="40" customHeight="1">
      <x:c r="A20" s="14" t="str">
        <x:v>P13</x:v>
      </x:c>
      <x:c r="B20" s="14" t="str">
        <x:v>M05</x:v>
      </x:c>
      <x:c r="C20" s="14" t="str">
        <x:v>D435一体后座</x:v>
      </x:c>
      <x:c r="D20" s="15" t="n">
        <x:f>SUMIFS('完整BOM'!$E$8:$E$90,'完整BOM'!$A$8:$A$90,A20)</x:f>
        <x:v>1</x:v>
      </x:c>
      <x:c r="E20" s="14" t="str">
        <x:v>PETG</x:v>
      </x:c>
      <x:c r="F20" s="14" t="str">
        <x:v>FDM 3D打印</x:v>
      </x:c>
      <x:c r="G20" s="14" t="str">
        <x:v>3D打印件</x:v>
      </x:c>
      <x:c r="H20" s="14" t="str">
        <x:v>0.4喷嘴PETG；先打印孔/螺母槽试片，参见公差与装配说明。默认25.05深相机；26.05深相机用alternates替代，二选一，仅计1件。</x:v>
      </x:c>
      <x:c r="I20" s="14" t="str">
        <x:v>样机首件；按公差说明验收</x:v>
      </x:c>
    </x:row>
    <x:row r="21" ht="40" customHeight="1">
      <x:c r="A21" s="14" t="str">
        <x:v>P14</x:v>
      </x:c>
      <x:c r="B21" s="14" t="str">
        <x:v>M04</x:v>
      </x:c>
      <x:c r="C21" s="14" t="str">
        <x:v>IMU刚性安装桥</x:v>
      </x:c>
      <x:c r="D21" s="15" t="n">
        <x:f>SUMIFS('完整BOM'!$E$8:$E$90,'完整BOM'!$A$8:$A$90,A21)</x:f>
        <x:v>1</x:v>
      </x:c>
      <x:c r="E21" s="14" t="str">
        <x:v>6061-T6铝合金</x:v>
      </x:c>
      <x:c r="F21" s="14" t="str">
        <x:v>CNC铣削/车铣</x:v>
      </x:c>
      <x:c r="G21" s="14" t="str">
        <x:v>定制金属件</x:v>
      </x:c>
      <x:c r="H21" s="14" t="str">
        <x:v>承力或刚性定位件；6061-T6 CNC，螺纹/轴承座/薄耳需精加工；不可直接替换普通钣金或PETG。</x:v>
      </x:c>
      <x:c r="I21" s="14" t="str">
        <x:v>样机首件；按公差说明验收</x:v>
      </x:c>
    </x:row>
    <x:row r="22" ht="34" customHeight="1">
      <x:c r="A22" s="14" t="str">
        <x:v>P15</x:v>
      </x:c>
      <x:c r="B22" s="14" t="str">
        <x:v>M05</x:v>
      </x:c>
      <x:c r="C22" s="14" t="str">
        <x:v>屏幕右托夹</x:v>
      </x:c>
      <x:c r="D22" s="15" t="n">
        <x:f>SUMIFS('完整BOM'!$E$8:$E$90,'完整BOM'!$A$8:$A$90,A22)</x:f>
        <x:v>1</x:v>
      </x:c>
      <x:c r="E22" s="14" t="str">
        <x:v>PETG</x:v>
      </x:c>
      <x:c r="F22" s="14" t="str">
        <x:v>FDM 3D打印</x:v>
      </x:c>
      <x:c r="G22" s="14" t="str">
        <x:v>3D打印件</x:v>
      </x:c>
      <x:c r="H22" s="14" t="str">
        <x:v>0.4喷嘴PETG；先打印孔/螺母槽试片，参见公差与装配说明。</x:v>
      </x:c>
      <x:c r="I22" s="14" t="str">
        <x:v>样机首件；按公差说明验收</x:v>
      </x:c>
    </x:row>
    <x:row r="23" ht="34" customHeight="1">
      <x:c r="A23" s="14" t="str">
        <x:v>P16</x:v>
      </x:c>
      <x:c r="B23" s="14" t="str">
        <x:v>M05</x:v>
      </x:c>
      <x:c r="C23" s="14" t="str">
        <x:v>屏幕左托夹</x:v>
      </x:c>
      <x:c r="D23" s="15" t="n">
        <x:f>SUMIFS('完整BOM'!$E$8:$E$90,'完整BOM'!$A$8:$A$90,A23)</x:f>
        <x:v>1</x:v>
      </x:c>
      <x:c r="E23" s="14" t="str">
        <x:v>PETG</x:v>
      </x:c>
      <x:c r="F23" s="14" t="str">
        <x:v>FDM 3D打印</x:v>
      </x:c>
      <x:c r="G23" s="14" t="str">
        <x:v>3D打印件</x:v>
      </x:c>
      <x:c r="H23" s="14" t="str">
        <x:v>0.4喷嘴PETG；先打印孔/螺母槽试片，参见公差与装配说明。</x:v>
      </x:c>
      <x:c r="I23" s="14" t="str">
        <x:v>样机首件；按公差说明验收</x:v>
      </x:c>
    </x:row>
    <x:row r="24" ht="55" customHeight="1">
      <x:c r="A24" s="14" t="str">
        <x:v>P17</x:v>
      </x:c>
      <x:c r="B24" s="14" t="str">
        <x:v>M01、M02</x:v>
      </x:c>
      <x:c r="C24" s="14" t="str">
        <x:v>左右通用髋定子座</x:v>
      </x:c>
      <x:c r="D24" s="15" t="n">
        <x:f>SUMIFS('完整BOM'!$E$8:$E$90,'完整BOM'!$A$8:$A$90,A24)</x:f>
        <x:v>2</x:v>
      </x:c>
      <x:c r="E24" s="14" t="str">
        <x:v>6061-T6铝合金</x:v>
      </x:c>
      <x:c r="F24" s="14" t="str">
        <x:v>CNC铣削/车铣</x:v>
      </x:c>
      <x:c r="G24" s="14" t="str">
        <x:v>定制金属件</x:v>
      </x:c>
      <x:c r="H24" s="14" t="str">
        <x:v>承力或刚性定位件；6061-T6 CNC，螺纹/轴承座/薄耳需精加工；不可直接替换普通钣金或PETG。同一制造型号加工2件，按装配方向翻转；等形证据见别名审查。</x:v>
      </x:c>
      <x:c r="I24" s="14" t="str">
        <x:v>样机首件；按公差说明验收</x:v>
      </x:c>
    </x:row>
    <x:row r="25" ht="55" customHeight="1">
      <x:c r="A25" s="14" t="str">
        <x:v>P18</x:v>
      </x:c>
      <x:c r="B25" s="14" t="str">
        <x:v>M01、M02</x:v>
      </x:c>
      <x:c r="C25" s="14" t="str">
        <x:v>左右通用髋转子法兰</x:v>
      </x:c>
      <x:c r="D25" s="15" t="n">
        <x:f>SUMIFS('完整BOM'!$E$8:$E$90,'完整BOM'!$A$8:$A$90,A25)</x:f>
        <x:v>2</x:v>
      </x:c>
      <x:c r="E25" s="14" t="str">
        <x:v>6061-T6铝合金</x:v>
      </x:c>
      <x:c r="F25" s="14" t="str">
        <x:v>CNC铣削/车铣</x:v>
      </x:c>
      <x:c r="G25" s="14" t="str">
        <x:v>定制金属件</x:v>
      </x:c>
      <x:c r="H25" s="14" t="str">
        <x:v>承力或刚性定位件；6061-T6 CNC，螺纹/轴承座/薄耳需精加工；不可直接替换普通钣金或PETG。同一制造型号加工2件，按装配方向翻转；等形证据见别名审查。</x:v>
      </x:c>
      <x:c r="I25" s="14" t="str">
        <x:v>样机首件；按公差说明验收</x:v>
      </x:c>
    </x:row>
    <x:row r="26" ht="40" customHeight="1">
      <x:c r="A26" s="14" t="str">
        <x:v>P19</x:v>
      </x:c>
      <x:c r="B26" s="14" t="str">
        <x:v>M02</x:v>
      </x:c>
      <x:c r="C26" s="14" t="str">
        <x:v>右膝定子套杯</x:v>
      </x:c>
      <x:c r="D26" s="15" t="n">
        <x:f>SUMIFS('完整BOM'!$E$8:$E$90,'完整BOM'!$A$8:$A$90,A26)</x:f>
        <x:v>1</x:v>
      </x:c>
      <x:c r="E26" s="14" t="str">
        <x:v>6061-T6铝合金</x:v>
      </x:c>
      <x:c r="F26" s="14" t="str">
        <x:v>CNC铣削/车铣</x:v>
      </x:c>
      <x:c r="G26" s="14" t="str">
        <x:v>定制金属件</x:v>
      </x:c>
      <x:c r="H26" s="14" t="str">
        <x:v>承力或刚性定位件；6061-T6 CNC，螺纹/轴承座/薄耳需精加工；不可直接替换普通钣金或PETG。</x:v>
      </x:c>
      <x:c r="I26" s="14" t="str">
        <x:v>样机首件；按公差说明验收</x:v>
      </x:c>
    </x:row>
    <x:row r="27" ht="40" customHeight="1">
      <x:c r="A27" s="14" t="str">
        <x:v>P20</x:v>
      </x:c>
      <x:c r="B27" s="14" t="str">
        <x:v>M01</x:v>
      </x:c>
      <x:c r="C27" s="14" t="str">
        <x:v>左膝定子套杯</x:v>
      </x:c>
      <x:c r="D27" s="15" t="n">
        <x:f>SUMIFS('完整BOM'!$E$8:$E$90,'完整BOM'!$A$8:$A$90,A27)</x:f>
        <x:v>1</x:v>
      </x:c>
      <x:c r="E27" s="14" t="str">
        <x:v>6061-T6铝合金</x:v>
      </x:c>
      <x:c r="F27" s="14" t="str">
        <x:v>CNC铣削/车铣</x:v>
      </x:c>
      <x:c r="G27" s="14" t="str">
        <x:v>定制金属件</x:v>
      </x:c>
      <x:c r="H27" s="14" t="str">
        <x:v>承力或刚性定位件；6061-T6 CNC，螺纹/轴承座/薄耳需精加工；不可直接替换普通钣金或PETG。</x:v>
      </x:c>
      <x:c r="I27" s="14" t="str">
        <x:v>样机首件；按公差说明验收</x:v>
      </x:c>
    </x:row>
    <x:row r="28" ht="40" customHeight="1">
      <x:c r="A28" s="14" t="str">
        <x:v>P21</x:v>
      </x:c>
      <x:c r="B28" s="14" t="str">
        <x:v>M02</x:v>
      </x:c>
      <x:c r="C28" s="14" t="str">
        <x:v>右OB内框</x:v>
      </x:c>
      <x:c r="D28" s="15" t="n">
        <x:f>SUMIFS('完整BOM'!$E$8:$E$90,'完整BOM'!$A$8:$A$90,A28)</x:f>
        <x:v>1</x:v>
      </x:c>
      <x:c r="E28" s="14" t="str">
        <x:v>6061-T6铝合金</x:v>
      </x:c>
      <x:c r="F28" s="14" t="str">
        <x:v>CNC铣削/车铣</x:v>
      </x:c>
      <x:c r="G28" s="14" t="str">
        <x:v>定制金属件</x:v>
      </x:c>
      <x:c r="H28" s="14" t="str">
        <x:v>承力或刚性定位件；6061-T6 CNC，螺纹/轴承座/薄耳需精加工；不可直接替换普通钣金或PETG。</x:v>
      </x:c>
      <x:c r="I28" s="14" t="str">
        <x:v>样机首件；按公差说明验收</x:v>
      </x:c>
    </x:row>
    <x:row r="29" ht="40" customHeight="1">
      <x:c r="A29" s="14" t="str">
        <x:v>P22</x:v>
      </x:c>
      <x:c r="B29" s="14" t="str">
        <x:v>M01</x:v>
      </x:c>
      <x:c r="C29" s="14" t="str">
        <x:v>左OB内框</x:v>
      </x:c>
      <x:c r="D29" s="15" t="n">
        <x:f>SUMIFS('完整BOM'!$E$8:$E$90,'完整BOM'!$A$8:$A$90,A29)</x:f>
        <x:v>1</x:v>
      </x:c>
      <x:c r="E29" s="14" t="str">
        <x:v>6061-T6铝合金</x:v>
      </x:c>
      <x:c r="F29" s="14" t="str">
        <x:v>CNC铣削/车铣</x:v>
      </x:c>
      <x:c r="G29" s="14" t="str">
        <x:v>定制金属件</x:v>
      </x:c>
      <x:c r="H29" s="14" t="str">
        <x:v>承力或刚性定位件；6061-T6 CNC，螺纹/轴承座/薄耳需精加工；不可直接替换普通钣金或PETG。</x:v>
      </x:c>
      <x:c r="I29" s="14" t="str">
        <x:v>样机首件；按公差说明验收</x:v>
      </x:c>
    </x:row>
    <x:row r="30" ht="40" customHeight="1">
      <x:c r="A30" s="14" t="str">
        <x:v>P23</x:v>
      </x:c>
      <x:c r="B30" s="14" t="str">
        <x:v>M02</x:v>
      </x:c>
      <x:c r="C30" s="14" t="str">
        <x:v>右OB外包主臂</x:v>
      </x:c>
      <x:c r="D30" s="15" t="n">
        <x:f>SUMIFS('完整BOM'!$E$8:$E$90,'完整BOM'!$A$8:$A$90,A30)</x:f>
        <x:v>1</x:v>
      </x:c>
      <x:c r="E30" s="14" t="str">
        <x:v>6061-T6铝合金</x:v>
      </x:c>
      <x:c r="F30" s="14" t="str">
        <x:v>CNC铣削/车铣</x:v>
      </x:c>
      <x:c r="G30" s="14" t="str">
        <x:v>定制金属件</x:v>
      </x:c>
      <x:c r="H30" s="14" t="str">
        <x:v>承力或刚性定位件；6061-T6 CNC，螺纹/轴承座/薄耳需精加工；不可直接替换普通钣金或PETG。</x:v>
      </x:c>
      <x:c r="I30" s="14" t="str">
        <x:v>样机首件；按公差说明验收</x:v>
      </x:c>
    </x:row>
    <x:row r="31" ht="40" customHeight="1">
      <x:c r="A31" s="14" t="str">
        <x:v>P24</x:v>
      </x:c>
      <x:c r="B31" s="14" t="str">
        <x:v>M01</x:v>
      </x:c>
      <x:c r="C31" s="14" t="str">
        <x:v>左OB外包主臂</x:v>
      </x:c>
      <x:c r="D31" s="15" t="n">
        <x:f>SUMIFS('完整BOM'!$E$8:$E$90,'完整BOM'!$A$8:$A$90,A31)</x:f>
        <x:v>1</x:v>
      </x:c>
      <x:c r="E31" s="14" t="str">
        <x:v>6061-T6铝合金</x:v>
      </x:c>
      <x:c r="F31" s="14" t="str">
        <x:v>CNC铣削/车铣</x:v>
      </x:c>
      <x:c r="G31" s="14" t="str">
        <x:v>定制金属件</x:v>
      </x:c>
      <x:c r="H31" s="14" t="str">
        <x:v>承力或刚性定位件；6061-T6 CNC，螺纹/轴承座/薄耳需精加工；不可直接替换普通钣金或PETG。</x:v>
      </x:c>
      <x:c r="I31" s="14" t="str">
        <x:v>样机首件；按公差说明验收</x:v>
      </x:c>
    </x:row>
    <x:row r="32" ht="55" customHeight="1">
      <x:c r="A32" s="14" t="str">
        <x:v>P25</x:v>
      </x:c>
      <x:c r="B32" s="14" t="str">
        <x:v>M01、M02</x:v>
      </x:c>
      <x:c r="C32" s="14" t="str">
        <x:v>左右通用OA曲柄</x:v>
      </x:c>
      <x:c r="D32" s="15" t="n">
        <x:f>SUMIFS('完整BOM'!$E$8:$E$90,'完整BOM'!$A$8:$A$90,A32)</x:f>
        <x:v>2</x:v>
      </x:c>
      <x:c r="E32" s="14" t="str">
        <x:v>6061-T6铝合金</x:v>
      </x:c>
      <x:c r="F32" s="14" t="str">
        <x:v>CNC铣削/车铣</x:v>
      </x:c>
      <x:c r="G32" s="14" t="str">
        <x:v>定制金属件</x:v>
      </x:c>
      <x:c r="H32" s="14" t="str">
        <x:v>承力或刚性定位件；6061-T6 CNC，螺纹/轴承座/薄耳需精加工；不可直接替换普通钣金或PETG。同一制造型号加工2件，按装配方向翻转；等形证据见别名审查。</x:v>
      </x:c>
      <x:c r="I32" s="14" t="str">
        <x:v>样机首件；按公差说明验收</x:v>
      </x:c>
    </x:row>
    <x:row r="33" ht="55" customHeight="1">
      <x:c r="A33" s="14" t="str">
        <x:v>P26</x:v>
      </x:c>
      <x:c r="B33" s="14" t="str">
        <x:v>M01、M02</x:v>
      </x:c>
      <x:c r="C33" s="14" t="str">
        <x:v>左右通用AC轴承连杆</x:v>
      </x:c>
      <x:c r="D33" s="15" t="n">
        <x:f>SUMIFS('完整BOM'!$E$8:$E$90,'完整BOM'!$A$8:$A$90,A33)</x:f>
        <x:v>2</x:v>
      </x:c>
      <x:c r="E33" s="14" t="str">
        <x:v>6061-T6铝合金</x:v>
      </x:c>
      <x:c r="F33" s="14" t="str">
        <x:v>CNC铣削/车铣</x:v>
      </x:c>
      <x:c r="G33" s="14" t="str">
        <x:v>定制金属件</x:v>
      </x:c>
      <x:c r="H33" s="14" t="str">
        <x:v>承力或刚性定位件；6061-T6 CNC，螺纹/轴承座/薄耳需精加工；不可直接替换普通钣金或PETG。同一制造型号加工2件，按装配方向翻转；等形证据见别名审查。</x:v>
      </x:c>
      <x:c r="I33" s="14" t="str">
        <x:v>样机首件；按公差说明验收</x:v>
      </x:c>
    </x:row>
    <x:row r="34" ht="40" customHeight="1">
      <x:c r="A34" s="14" t="str">
        <x:v>P27</x:v>
      </x:c>
      <x:c r="B34" s="14" t="str">
        <x:v>M02</x:v>
      </x:c>
      <x:c r="C34" s="14" t="str">
        <x:v>右CW下臂</x:v>
      </x:c>
      <x:c r="D34" s="15" t="n">
        <x:f>SUMIFS('完整BOM'!$E$8:$E$90,'完整BOM'!$A$8:$A$90,A34)</x:f>
        <x:v>1</x:v>
      </x:c>
      <x:c r="E34" s="14" t="str">
        <x:v>6061-T6铝合金</x:v>
      </x:c>
      <x:c r="F34" s="14" t="str">
        <x:v>CNC铣削/车铣</x:v>
      </x:c>
      <x:c r="G34" s="14" t="str">
        <x:v>定制金属件</x:v>
      </x:c>
      <x:c r="H34" s="14" t="str">
        <x:v>承力或刚性定位件；6061-T6 CNC，螺纹/轴承座/薄耳需精加工；不可直接替换普通钣金或PETG。</x:v>
      </x:c>
      <x:c r="I34" s="14" t="str">
        <x:v>样机首件；按公差说明验收</x:v>
      </x:c>
    </x:row>
    <x:row r="35" ht="40" customHeight="1">
      <x:c r="A35" s="14" t="str">
        <x:v>P28</x:v>
      </x:c>
      <x:c r="B35" s="14" t="str">
        <x:v>M01</x:v>
      </x:c>
      <x:c r="C35" s="14" t="str">
        <x:v>左CW下臂</x:v>
      </x:c>
      <x:c r="D35" s="15" t="n">
        <x:f>SUMIFS('完整BOM'!$E$8:$E$90,'完整BOM'!$A$8:$A$90,A35)</x:f>
        <x:v>1</x:v>
      </x:c>
      <x:c r="E35" s="14" t="str">
        <x:v>6061-T6铝合金</x:v>
      </x:c>
      <x:c r="F35" s="14" t="str">
        <x:v>CNC铣削/车铣</x:v>
      </x:c>
      <x:c r="G35" s="14" t="str">
        <x:v>定制金属件</x:v>
      </x:c>
      <x:c r="H35" s="14" t="str">
        <x:v>承力或刚性定位件；6061-T6 CNC，螺纹/轴承座/薄耳需精加工；不可直接替换普通钣金或PETG。</x:v>
      </x:c>
      <x:c r="I35" s="14" t="str">
        <x:v>样机首件；按公差说明验收</x:v>
      </x:c>
    </x:row>
    <x:row r="36" ht="55" customHeight="1">
      <x:c r="A36" s="14" t="str">
        <x:v>P29</x:v>
      </x:c>
      <x:c r="B36" s="14" t="str">
        <x:v>M01、M02</x:v>
      </x:c>
      <x:c r="C36" s="14" t="str">
        <x:v>通用轮辋</x:v>
      </x:c>
      <x:c r="D36" s="15" t="n">
        <x:f>SUMIFS('完整BOM'!$E$8:$E$90,'完整BOM'!$A$8:$A$90,A36)</x:f>
        <x:v>2</x:v>
      </x:c>
      <x:c r="E36" s="14" t="str">
        <x:v>6061-T6铝合金</x:v>
      </x:c>
      <x:c r="F36" s="14" t="str">
        <x:v>CNC铣削/车铣</x:v>
      </x:c>
      <x:c r="G36" s="14" t="str">
        <x:v>定制金属件</x:v>
      </x:c>
      <x:c r="H36" s="14" t="str">
        <x:v>承力或刚性定位件；6061-T6 CNC，螺纹/轴承座/薄耳需精加工；不可直接替换普通钣金或PETG。同一制造型号加工2件，按装配方向翻转；等形证据见别名审查。</x:v>
      </x:c>
      <x:c r="I36" s="14" t="str">
        <x:v>样机首件；按公差说明验收</x:v>
      </x:c>
    </x:row>
    <x:row r="37" ht="34" customHeight="1">
      <x:c r="A37" s="14" t="str">
        <x:v>LC01</x:v>
      </x:c>
      <x:c r="B37" s="14" t="str">
        <x:v>M01、M02</x:v>
      </x:c>
      <x:c r="C37" s="14" t="str">
        <x:v>轴承外圈压盖</x:v>
      </x:c>
      <x:c r="D37" s="15" t="n">
        <x:f>SUMIFS('完整BOM'!$E$8:$E$90,'完整BOM'!$A$8:$A$90,A37)</x:f>
        <x:v>6</x:v>
      </x:c>
      <x:c r="E37" s="14" t="str">
        <x:v>不锈钢板</x:v>
      </x:c>
      <x:c r="F37" s="14" t="str">
        <x:v>精密薄板切割/整平</x:v>
      </x:c>
      <x:c r="G37" s="14" t="str">
        <x:v>定制金属件</x:v>
      </x:c>
      <x:c r="H37" s="14" t="str">
        <x:v>激光/精密板切割后去毛刺整平；薄型结构不够放DIN472槽+保边，保留压盖。</x:v>
      </x:c>
      <x:c r="I37" s="14" t="str">
        <x:v>原型装配规格；未验证跳跃强度</x:v>
      </x:c>
    </x:row>
    <x:row r="38" ht="40" customHeight="1">
      <x:c r="A38" s="14" t="str">
        <x:v>LC02</x:v>
      </x:c>
      <x:c r="B38" s="14" t="str">
        <x:v>M01、M02</x:v>
      </x:c>
      <x:c r="C38" s="14" t="str">
        <x:v>双端内螺纹关节轴销</x:v>
      </x:c>
      <x:c r="D38" s="15" t="n">
        <x:f>SUMIFS('完整BOM'!$E$8:$E$90,'完整BOM'!$A$8:$A$90,A38)</x:f>
        <x:v>6</x:v>
      </x:c>
      <x:c r="E38" s="14" t="str">
        <x:v>40Cr调质后精磨；具体硬度按试验定</x:v>
      </x:c>
      <x:c r="F38" s="14" t="str">
        <x:v>CNC车削/精磨/二次加工</x:v>
      </x:c>
      <x:c r="G38" s="14" t="str">
        <x:v>定制金属件</x:v>
      </x:c>
      <x:c r="H38" s="14" t="str">
        <x:v>六个A/B/C轴同一种；非标准肩螺栓。外形冻结，轴径按轴承实测选配；名义中心实心段4.85 mm。</x:v>
      </x:c>
      <x:c r="I38" s="14" t="str">
        <x:v>原型装配规格；未验证跳跃强度</x:v>
      </x:c>
    </x:row>
    <x:row r="39" ht="40" customHeight="1">
      <x:c r="A39" s="14" t="str">
        <x:v>LC03</x:v>
      </x:c>
      <x:c r="B39" s="14" t="str">
        <x:v>M01、M02</x:v>
      </x:c>
      <x:c r="C39" s="14" t="str">
        <x:v>内侧一体带肩衬套</x:v>
      </x:c>
      <x:c r="D39" s="15" t="n">
        <x:f>SUMIFS('完整BOM'!$E$8:$E$90,'完整BOM'!$A$8:$A$90,A39)</x:f>
        <x:v>6</x:v>
      </x:c>
      <x:c r="E39" s="14" t="str">
        <x:v>轴承青铜CuSn12</x:v>
      </x:c>
      <x:c r="F39" s="14" t="str">
        <x:v>CNC车削/精磨/二次加工</x:v>
      </x:c>
      <x:c r="G39" s="14" t="str">
        <x:v>定制金属件</x:v>
      </x:c>
      <x:c r="H39" s="14" t="str">
        <x:v>精密车削；Ø8段朝内叉耳，Ø8.4肩朝轴承。替代独立铜套+1.25隔圈；轻压装，不用窄肩传递轴承预载。</x:v>
      </x:c>
      <x:c r="I39" s="14" t="str">
        <x:v>原型装配规格；未验证跳跃强度</x:v>
      </x:c>
    </x:row>
    <x:row r="40" ht="40" customHeight="1">
      <x:c r="A40" s="14" t="str">
        <x:v>LC04</x:v>
      </x:c>
      <x:c r="B40" s="14" t="str">
        <x:v>M01、M02</x:v>
      </x:c>
      <x:c r="C40" s="14" t="str">
        <x:v>外侧一体带肩衬套</x:v>
      </x:c>
      <x:c r="D40" s="15" t="n">
        <x:f>SUMIFS('完整BOM'!$E$8:$E$90,'完整BOM'!$A$8:$A$90,A40)</x:f>
        <x:v>6</x:v>
      </x:c>
      <x:c r="E40" s="14" t="str">
        <x:v>轴承青铜CuSn12</x:v>
      </x:c>
      <x:c r="F40" s="14" t="str">
        <x:v>CNC车削/精磨/二次加工</x:v>
      </x:c>
      <x:c r="G40" s="14" t="str">
        <x:v>定制金属件</x:v>
      </x:c>
      <x:c r="H40" s="14" t="str">
        <x:v>精密车削；Ø8段朝外叉耳，Ø8.4肩朝轴承。名义游隙0.05留在肩与轴承内圈之间，避免压盖/轴销锁死轴承。</x:v>
      </x:c>
      <x:c r="I40" s="14" t="str">
        <x:v>原型装配规格；未验证跳跃强度</x:v>
      </x:c>
    </x:row>
    <x:row r="41" ht="40" customHeight="1">
      <x:c r="A41" s="14" t="str">
        <x:v>LC05</x:v>
      </x:c>
      <x:c r="B41" s="14" t="str">
        <x:v>M01、M02</x:v>
      </x:c>
      <x:c r="C41" s="14" t="str">
        <x:v>轴销薄防脱挡片</x:v>
      </x:c>
      <x:c r="D41" s="15" t="n">
        <x:f>SUMIFS('完整BOM'!$E$8:$E$90,'完整BOM'!$A$8:$A$90,A41)</x:f>
        <x:v>12</x:v>
      </x:c>
      <x:c r="E41" s="14" t="str">
        <x:v>钢精密垫片料</x:v>
      </x:c>
      <x:c r="F41" s="14" t="str">
        <x:v>精密薄板切割/整平</x:v>
      </x:c>
      <x:c r="G41" s="14" t="str">
        <x:v>定制金属件</x:v>
      </x:c>
      <x:c r="H41" s="14" t="str">
        <x:v>定制功能挡片，不是标准采购垫片。单一规格12件，避免用大/小标准垫片叠层增加散件。</x:v>
      </x:c>
      <x:c r="I41" s="14" t="str">
        <x:v>原型装配规格；未验证跳跃强度</x:v>
      </x:c>
    </x:row>
    <x:row r="42" ht="40" customHeight="1">
      <x:c r="A42" s="14" t="str">
        <x:v>LC06</x:v>
      </x:c>
      <x:c r="B42" s="14" t="str">
        <x:v>M01、M02</x:v>
      </x:c>
      <x:c r="C42" s="14" t="str">
        <x:v>OA装配限位肩销</x:v>
      </x:c>
      <x:c r="D42" s="15" t="n">
        <x:f>SUMIFS('完整BOM'!$E$8:$E$90,'完整BOM'!$A$8:$A$90,A42)</x:f>
        <x:v>2</x:v>
      </x:c>
      <x:c r="E42" s="14" t="str">
        <x:v>钢；强度待验证</x:v>
      </x:c>
      <x:c r="F42" s="14" t="str">
        <x:v>CNC车削/精磨/二次加工</x:v>
      </x:c>
      <x:c r="G42" s="14" t="str">
        <x:v>定制金属件</x:v>
      </x:c>
      <x:c r="H42" s="14" t="str">
        <x:v>只做装配角限位；禁止把它当作带电撞停或落地限位件。</x:v>
      </x:c>
      <x:c r="I42" s="14" t="str">
        <x:v>原型装配规格；未验证跳跃强度</x:v>
      </x:c>
    </x:row>
    <x:row r="43" ht="34" customHeight="1">
      <x:c r="A43" s="14" t="str">
        <x:v>P30</x:v>
      </x:c>
      <x:c r="B43" s="14" t="str">
        <x:v>M07</x:v>
      </x:c>
      <x:c r="C43" s="14" t="str">
        <x:v>配电通信一体安装架</x:v>
      </x:c>
      <x:c r="D43" s="15" t="n">
        <x:f>SUMIFS('完整BOM'!$E$8:$E$90,'完整BOM'!$A$8:$A$90,A43)</x:f>
        <x:v>1</x:v>
      </x:c>
      <x:c r="E43" s="14" t="str">
        <x:v>PETG</x:v>
      </x:c>
      <x:c r="F43" s="14" t="str">
        <x:v>FDM 3D打印</x:v>
      </x:c>
      <x:c r="G43" s="14" t="str">
        <x:v>3D打印件</x:v>
      </x:c>
      <x:c r="H43" s="14" t="str">
        <x:v>板卡和转换器先在机外预装；支柱下方保持绝缘与螺母净空，打印后清孔。</x:v>
      </x:c>
      <x:c r="I43" s="14" t="str">
        <x:v>样机首件；按接口与装配说明验收</x:v>
      </x:c>
    </x:row>
    <x:row r="44" ht="34" customHeight="1">
      <x:c r="A44" s="14" t="str">
        <x:v>P31</x:v>
      </x:c>
      <x:c r="B44" s="14" t="str">
        <x:v>M06</x:v>
      </x:c>
      <x:c r="C44" s="14" t="str">
        <x:v>背部USB扩展坞压托</x:v>
      </x:c>
      <x:c r="D44" s="15" t="n">
        <x:f>SUMIFS('完整BOM'!$E$8:$E$90,'完整BOM'!$A$8:$A$90,A44)</x:f>
        <x:v>1</x:v>
      </x:c>
      <x:c r="E44" s="14" t="str">
        <x:v>PETG</x:v>
      </x:c>
      <x:c r="F44" s="14" t="str">
        <x:v>FDM 3D打印</x:v>
      </x:c>
      <x:c r="G44" s="14" t="str">
        <x:v>3D打印件</x:v>
      </x:c>
      <x:c r="H44" s="14" t="str">
        <x:v>仅压持壳体；保留插口和上行线应力释放，不以连接器受力定位。</x:v>
      </x:c>
      <x:c r="I44" s="14" t="str">
        <x:v>样机首件；按接口与装配说明验收</x:v>
      </x:c>
    </x:row>
    <x:row r="45" ht="34" customHeight="1">
      <x:c r="A45" s="14" t="str">
        <x:v>P32</x:v>
      </x:c>
      <x:c r="B45" s="14" t="str">
        <x:v>M06</x:v>
      </x:c>
      <x:c r="C45" s="14" t="str">
        <x:v>后充电口可换安装板</x:v>
      </x:c>
      <x:c r="D45" s="15" t="n">
        <x:f>SUMIFS('完整BOM'!$E$8:$E$90,'完整BOM'!$A$8:$A$90,A45)</x:f>
        <x:v>1</x:v>
      </x:c>
      <x:c r="E45" s="14" t="str">
        <x:v>PETG</x:v>
      </x:c>
      <x:c r="F45" s="14" t="str">
        <x:v>FDM 3D打印</x:v>
      </x:c>
      <x:c r="G45" s="14" t="str">
        <x:v>3D打印件</x:v>
      </x:c>
      <x:c r="H45" s="14" t="str">
        <x:v>预留导孔不等于DC母座安装孔；按所选母座图纸再扩孔或重打。</x:v>
      </x:c>
      <x:c r="I45" s="14" t="str">
        <x:v>样机首件；按接口与装配说明验收</x:v>
      </x:c>
    </x:row>
  </x:sheetData>
  <x:pageMargins left="0.7" right="0.7" top="0.75" bottom="0.75" header="0.3" footer="0.3"/>
  <x:tableParts count="1">
    <x:tablePart xmlns:r="http://schemas.openxmlformats.org/officeDocument/2006/relationships" r:id="R1e06899e93244643"/>
  </x:tableParts>
</x:worksheet>
</file>

<file path=xl/worksheets/sheet3.xml><?xml version="1.0" encoding="utf-8"?>
<x:worksheet xmlns:x="http://schemas.openxmlformats.org/spreadsheetml/2006/main">
  <x:sheetPr>
    <x:tabColor rgb="FF294459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7" hidden="0" customWidth="1"/>
    <x:col min="2" max="2" width="18" hidden="0" customWidth="1"/>
    <x:col min="3" max="3" width="29" hidden="0" customWidth="1"/>
    <x:col min="4" max="4" width="48" hidden="0" customWidth="1"/>
    <x:col min="5" max="5" width="10" hidden="0" customWidth="1"/>
    <x:col min="6" max="6" width="7" hidden="0" customWidth="1"/>
    <x:col min="7" max="7" width="20" hidden="0" customWidth="1"/>
    <x:col min="8" max="8" width="18" hidden="0" customWidth="1"/>
    <x:col min="9" max="9" width="15" hidden="0" customWidth="1"/>
    <x:col min="10" max="10" width="28" hidden="0" customWidth="1"/>
    <x:col min="11" max="11" width="44" hidden="0" customWidth="1"/>
    <x:col min="12" max="12" width="55" hidden="0" customWidth="1"/>
    <x:col min="13" max="13" width="3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V8.2 采购与制造 BOM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A4" s="5" t="str">
        <x:v>1台样机净用量，备件默认0%。新增电气模块；未选DC母座与保护/线束标待定，设备质量为工程预算。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2" t="str">
        <x:v>来源版本：V8.2    日期：2026-09-28</x:v>
      </x:c>
      <x:c r="B5" s="2"/>
      <x:c r="C5" s="2"/>
      <x:c r="D5" s="2"/>
      <x:c r="E5" s="2"/>
      <x:c r="F5" s="2"/>
      <x:c r="G5" s="2"/>
      <x:c r="H5" s="2"/>
      <x:c r="I5" s="2"/>
      <x:c r="J5" s="2" t="str">
        <x:v>明细行数</x:v>
      </x:c>
      <x:c r="K5" s="2" t="n">
        <x:f>COUNTA(A8:A90)</x:f>
        <x:v>83</x:v>
      </x:c>
      <x:c r="L5" s="2"/>
      <x:c r="M5" s="2"/>
    </x:row>
    <x:row r="6">
      <x:c r="A6" s="5" t="str">
        <x:v>M01 左腿预装总成；M02 右腿预装总成；M03 承力机架与总装接口件；M04 电器仓子模块；M05 屏幕相机前脸总成；M06 外壳套件；M07 前部配电通信服务模块；M08 后部USB扩展模块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30" customHeight="1">
      <x:c r="A7" s="11" t="str">
        <x:v>零件ID</x:v>
      </x:c>
      <x:c r="B7" s="12" t="str">
        <x:v>装配模块</x:v>
      </x:c>
      <x:c r="C7" s="12" t="str">
        <x:v>零件名称</x:v>
      </x:c>
      <x:c r="D7" s="12" t="str">
        <x:v>完整规格</x:v>
      </x:c>
      <x:c r="E7" s="12" t="str">
        <x:v>单机数量</x:v>
      </x:c>
      <x:c r="F7" s="12" t="str">
        <x:v>单位</x:v>
      </x:c>
      <x:c r="G7" s="12" t="str">
        <x:v>材料/等级</x:v>
      </x:c>
      <x:c r="H7" s="12" t="str">
        <x:v>制造工艺</x:v>
      </x:c>
      <x:c r="I7" s="12" t="str">
        <x:v>供应方式</x:v>
      </x:c>
      <x:c r="J7" s="12" t="str">
        <x:v>状态</x:v>
      </x:c>
      <x:c r="K7" s="12" t="str">
        <x:v>来源</x:v>
      </x:c>
      <x:c r="L7" s="12" t="str">
        <x:v>备注</x:v>
      </x:c>
      <x:c r="M7" s="13" t="str">
        <x:v>标准采购键</x:v>
      </x:c>
    </x:row>
    <x:row r="8" ht="40" customHeight="1">
      <x:c r="A8" s="14" t="str">
        <x:v>P01</x:v>
      </x:c>
      <x:c r="B8" s="14" t="str">
        <x:v>M03</x:v>
      </x:c>
      <x:c r="C8" s="14" t="str">
        <x:v>机架底板</x:v>
      </x:c>
      <x:c r="D8" s="14" t="str">
        <x:v>174.0 × 144.0 × 11.0 mm 包络；详见STEP</x:v>
      </x:c>
      <x:c r="E8" s="15" t="n">
        <x:v>1</x:v>
      </x:c>
      <x:c r="F8" s="16" t="str">
        <x:v>件</x:v>
      </x:c>
      <x:c r="G8" s="14" t="str">
        <x:v>6061-T6铝合金</x:v>
      </x:c>
      <x:c r="H8" s="14" t="str">
        <x:v>CNC铣削/车铣</x:v>
      </x:c>
      <x:c r="I8" s="14" t="str">
        <x:v>定制金属件</x:v>
      </x:c>
      <x:c r="J8" s="14" t="str">
        <x:v>样机首件；按公差说明验收</x:v>
      </x:c>
      <x:c r="K8" s="14" t="str">
        <x:v>manufacturing/metal/P01_chassis_belly_plate.step</x:v>
      </x:c>
      <x:c r="L8" s="14" t="str">
        <x:v>承力或刚性定位件；6061-T6 CNC，螺纹/轴承座/薄耳需精加工；不可直接替换普通钣金或PETG。</x:v>
      </x:c>
      <x:c r="M8" s="14" t="str"/>
    </x:row>
    <x:row r="9" ht="40" customHeight="1">
      <x:c r="A9" s="14" t="str">
        <x:v>P02</x:v>
      </x:c>
      <x:c r="B9" s="14" t="str">
        <x:v>M03</x:v>
      </x:c>
      <x:c r="C9" s="14" t="str">
        <x:v>右承力侧框</x:v>
      </x:c>
      <x:c r="D9" s="14" t="str">
        <x:v>172.0 × 32.0 × 94.0 mm 包络；详见STEP</x:v>
      </x:c>
      <x:c r="E9" s="15" t="n">
        <x:v>1</x:v>
      </x:c>
      <x:c r="F9" s="16" t="str">
        <x:v>件</x:v>
      </x:c>
      <x:c r="G9" s="14" t="str">
        <x:v>6061-T6铝合金</x:v>
      </x:c>
      <x:c r="H9" s="14" t="str">
        <x:v>CNC铣削/车铣</x:v>
      </x:c>
      <x:c r="I9" s="14" t="str">
        <x:v>定制金属件</x:v>
      </x:c>
      <x:c r="J9" s="14" t="str">
        <x:v>样机首件；按公差说明验收</x:v>
      </x:c>
      <x:c r="K9" s="14" t="str">
        <x:v>manufacturing/metal/P02_chassis_hip_frame_right.step</x:v>
      </x:c>
      <x:c r="L9" s="14" t="str">
        <x:v>承力或刚性定位件；6061-T6 CNC，螺纹/轴承座/薄耳需精加工；不可直接替换普通钣金或PETG。</x:v>
      </x:c>
      <x:c r="M9" s="14" t="str"/>
    </x:row>
    <x:row r="10" ht="40" customHeight="1">
      <x:c r="A10" s="14" t="str">
        <x:v>P03</x:v>
      </x:c>
      <x:c r="B10" s="14" t="str">
        <x:v>M03</x:v>
      </x:c>
      <x:c r="C10" s="14" t="str">
        <x:v>左承力侧框</x:v>
      </x:c>
      <x:c r="D10" s="14" t="str">
        <x:v>172.0 × 32.0 × 94.0 mm 包络；详见STEP</x:v>
      </x:c>
      <x:c r="E10" s="15" t="n">
        <x:v>1</x:v>
      </x:c>
      <x:c r="F10" s="16" t="str">
        <x:v>件</x:v>
      </x:c>
      <x:c r="G10" s="14" t="str">
        <x:v>6061-T6铝合金</x:v>
      </x:c>
      <x:c r="H10" s="14" t="str">
        <x:v>CNC铣削/车铣</x:v>
      </x:c>
      <x:c r="I10" s="14" t="str">
        <x:v>定制金属件</x:v>
      </x:c>
      <x:c r="J10" s="14" t="str">
        <x:v>样机首件；按公差说明验收</x:v>
      </x:c>
      <x:c r="K10" s="14" t="str">
        <x:v>manufacturing/metal/P03_chassis_hip_frame_left.step</x:v>
      </x:c>
      <x:c r="L10" s="14" t="str">
        <x:v>承力或刚性定位件；6061-T6 CNC，螺纹/轴承座/薄耳需精加工；不可直接替换普通钣金或PETG。</x:v>
      </x:c>
      <x:c r="M10" s="14" t="str"/>
    </x:row>
    <x:row r="11" ht="55" customHeight="1">
      <x:c r="A11" s="14" t="str">
        <x:v>P04</x:v>
      </x:c>
      <x:c r="B11" s="14" t="str">
        <x:v>M03</x:v>
      </x:c>
      <x:c r="C11" s="14" t="str">
        <x:v>前后通用横框</x:v>
      </x:c>
      <x:c r="D11" s="14" t="str">
        <x:v>8.0 × 144.0 × 94.0 mm 包络；详见STEP</x:v>
      </x:c>
      <x:c r="E11" s="15" t="n">
        <x:v>2</x:v>
      </x:c>
      <x:c r="F11" s="16" t="str">
        <x:v>件</x:v>
      </x:c>
      <x:c r="G11" s="14" t="str">
        <x:v>6061-T6铝合金</x:v>
      </x:c>
      <x:c r="H11" s="14" t="str">
        <x:v>CNC铣削/车铣</x:v>
      </x:c>
      <x:c r="I11" s="14" t="str">
        <x:v>定制金属件</x:v>
      </x:c>
      <x:c r="J11" s="14" t="str">
        <x:v>样机首件；按公差说明验收</x:v>
      </x:c>
      <x:c r="K11" s="14" t="str">
        <x:v>manufacturing/metal/P04_chassis_front_crossframe.step</x:v>
      </x:c>
      <x:c r="L11" s="14" t="str">
        <x:v>承力或刚性定位件；6061-T6 CNC，螺纹/轴承座/薄耳需精加工；不可直接替换普通钣金或PETG。同一制造型号加工2件，按装配方向翻转；等形证据见别名审查。</x:v>
      </x:c>
      <x:c r="M11" s="14" t="str"/>
    </x:row>
    <x:row r="12" ht="40" customHeight="1">
      <x:c r="A12" s="14" t="str">
        <x:v>P05</x:v>
      </x:c>
      <x:c r="B12" s="14" t="str">
        <x:v>M06</x:v>
      </x:c>
      <x:c r="C12" s="14" t="str">
        <x:v>前主壳</x:v>
      </x:c>
      <x:c r="D12" s="14" t="str">
        <x:v>141.0 × 172.0 × 155.0 mm 包络；详见STEP</x:v>
      </x:c>
      <x:c r="E12" s="15" t="n">
        <x:v>1</x:v>
      </x:c>
      <x:c r="F12" s="16" t="str">
        <x:v>件</x:v>
      </x:c>
      <x:c r="G12" s="14" t="str">
        <x:v>PETG</x:v>
      </x:c>
      <x:c r="H12" s="14" t="str">
        <x:v>FDM 3D打印</x:v>
      </x:c>
      <x:c r="I12" s="14" t="str">
        <x:v>3D打印件</x:v>
      </x:c>
      <x:c r="J12" s="14" t="str">
        <x:v>样机首件；按公差说明验收</x:v>
      </x:c>
      <x:c r="K12" s="14" t="str">
        <x:v>manufacturing/print/P05_chassis_front_shell.step</x:v>
      </x:c>
      <x:c r="L12" s="14" t="str">
        <x:v>0.4喷嘴PETG；先打印孔/螺母槽试片，参见公差与装配说明。 V8.2已更新外形/接口，制造必须使用本版导出。</x:v>
      </x:c>
      <x:c r="M12" s="14" t="str"/>
    </x:row>
    <x:row r="13" ht="40" customHeight="1">
      <x:c r="A13" s="14" t="str">
        <x:v>P06</x:v>
      </x:c>
      <x:c r="B13" s="14" t="str">
        <x:v>M06</x:v>
      </x:c>
      <x:c r="C13" s="14" t="str">
        <x:v>后检修壳</x:v>
      </x:c>
      <x:c r="D13" s="14" t="str">
        <x:v>74.0 × 172.0 × 155.0 mm 包络；详见STEP</x:v>
      </x:c>
      <x:c r="E13" s="15" t="n">
        <x:v>1</x:v>
      </x:c>
      <x:c r="F13" s="16" t="str">
        <x:v>件</x:v>
      </x:c>
      <x:c r="G13" s="14" t="str">
        <x:v>PETG</x:v>
      </x:c>
      <x:c r="H13" s="14" t="str">
        <x:v>FDM 3D打印</x:v>
      </x:c>
      <x:c r="I13" s="14" t="str">
        <x:v>3D打印件</x:v>
      </x:c>
      <x:c r="J13" s="14" t="str">
        <x:v>样机首件；按公差说明验收</x:v>
      </x:c>
      <x:c r="K13" s="14" t="str">
        <x:v>manufacturing/print/P06_chassis_rear_cover.step</x:v>
      </x:c>
      <x:c r="L13" s="14" t="str">
        <x:v>0.4喷嘴PETG；先打印孔/螺母槽试片，参见公差与装配说明。 V8.2已更新外形/接口，制造必须使用本版导出。</x:v>
      </x:c>
      <x:c r="M13" s="14" t="str"/>
    </x:row>
    <x:row r="14" ht="40" customHeight="1">
      <x:c r="A14" s="14" t="str">
        <x:v>P07</x:v>
      </x:c>
      <x:c r="B14" s="14" t="str">
        <x:v>M05</x:v>
      </x:c>
      <x:c r="C14" s="14" t="str">
        <x:v>屏幕相机前脸板</x:v>
      </x:c>
      <x:c r="D14" s="14" t="str">
        <x:v>144.0 × 148.0 × 3.0 mm 包络；详见STEP</x:v>
      </x:c>
      <x:c r="E14" s="15" t="n">
        <x:v>1</x:v>
      </x:c>
      <x:c r="F14" s="16" t="str">
        <x:v>件</x:v>
      </x:c>
      <x:c r="G14" s="14" t="str">
        <x:v>PETG</x:v>
      </x:c>
      <x:c r="H14" s="14" t="str">
        <x:v>FDM 3D打印</x:v>
      </x:c>
      <x:c r="I14" s="14" t="str">
        <x:v>3D打印件</x:v>
      </x:c>
      <x:c r="J14" s="14" t="str">
        <x:v>样机首件；按公差说明验收</x:v>
      </x:c>
      <x:c r="K14" s="14" t="str">
        <x:v>manufacturing/print/P07_display_front_bezel.step</x:v>
      </x:c>
      <x:c r="L14" s="14" t="str">
        <x:v>0.4喷嘴PETG；先打印孔/螺母槽试片，参见公差与装配说明。5寸GK-HD屏，装机前核实四角接触金属外框。</x:v>
      </x:c>
      <x:c r="M14" s="14" t="str"/>
    </x:row>
    <x:row r="15" ht="55" customHeight="1">
      <x:c r="A15" s="14" t="str">
        <x:v>P08</x:v>
      </x:c>
      <x:c r="B15" s="14" t="str">
        <x:v>M06</x:v>
      </x:c>
      <x:c r="C15" s="14" t="str">
        <x:v>左右通用肩罩</x:v>
      </x:c>
      <x:c r="D15" s="14" t="str">
        <x:v>106.989 × 38.5 × 51.8 mm 包络；详见STEP</x:v>
      </x:c>
      <x:c r="E15" s="15" t="n">
        <x:v>2</x:v>
      </x:c>
      <x:c r="F15" s="16" t="str">
        <x:v>件</x:v>
      </x:c>
      <x:c r="G15" s="14" t="str">
        <x:v>PETG</x:v>
      </x:c>
      <x:c r="H15" s="14" t="str">
        <x:v>FDM 3D打印</x:v>
      </x:c>
      <x:c r="I15" s="14" t="str">
        <x:v>3D打印件</x:v>
      </x:c>
      <x:c r="J15" s="14" t="str">
        <x:v>样机首件；按公差说明验收</x:v>
      </x:c>
      <x:c r="K15" s="14" t="str">
        <x:v>manufacturing/print/P08_shoulder_fairing_right.step</x:v>
      </x:c>
      <x:c r="L15" s="14" t="str">
        <x:v>0.4喷嘴PETG；先打印孔/螺母槽试片，参见公差与装配说明。同一制造型号加工2件，按装配方向翻转；等形证据见别名审查。</x:v>
      </x:c>
      <x:c r="M15" s="14" t="str"/>
    </x:row>
    <x:row r="16" ht="55" customHeight="1">
      <x:c r="A16" s="14" t="str">
        <x:v>P09</x:v>
      </x:c>
      <x:c r="B16" s="14" t="str">
        <x:v>M04</x:v>
      </x:c>
      <x:c r="C16" s="14" t="str">
        <x:v>电池托</x:v>
      </x:c>
      <x:c r="D16" s="14" t="str">
        <x:v>153.993 × 54.0 × 14.4 mm 包络；详见STEP</x:v>
      </x:c>
      <x:c r="E16" s="15" t="n">
        <x:v>1</x:v>
      </x:c>
      <x:c r="F16" s="16" t="str">
        <x:v>件</x:v>
      </x:c>
      <x:c r="G16" s="14" t="str">
        <x:v>PETG</x:v>
      </x:c>
      <x:c r="H16" s="14" t="str">
        <x:v>FDM 3D打印</x:v>
      </x:c>
      <x:c r="I16" s="14" t="str">
        <x:v>3D打印件</x:v>
      </x:c>
      <x:c r="J16" s="14" t="str">
        <x:v>样机首件；按公差说明验收</x:v>
      </x:c>
      <x:c r="K16" s="14" t="str">
        <x:v>manufacturing/print/P09_battery_tray.step</x:v>
      </x:c>
      <x:c r="L16" s="14" t="str">
        <x:v>0.4喷嘴PETG；先打印孔/螺母槽试片，参见公差与装配说明。按WHEELTEC电池85.6×61.6×42、含磁底44.5设计；装拆及穿带见BATTERY.md。</x:v>
      </x:c>
      <x:c r="M16" s="14" t="str"/>
    </x:row>
    <x:row r="17" ht="40" customHeight="1">
      <x:c r="A17" s="14" t="str">
        <x:v>P10</x:v>
      </x:c>
      <x:c r="B17" s="14" t="str">
        <x:v>M04</x:v>
      </x:c>
      <x:c r="C17" s="14" t="str">
        <x:v>电器托盘</x:v>
      </x:c>
      <x:c r="D17" s="14" t="str">
        <x:v>152.0 × 108.0 × 3.0 mm 包络；详见STEP</x:v>
      </x:c>
      <x:c r="E17" s="15" t="n">
        <x:v>1</x:v>
      </x:c>
      <x:c r="F17" s="16" t="str">
        <x:v>件</x:v>
      </x:c>
      <x:c r="G17" s="14" t="str">
        <x:v>PETG</x:v>
      </x:c>
      <x:c r="H17" s="14" t="str">
        <x:v>FDM 3D打印</x:v>
      </x:c>
      <x:c r="I17" s="14" t="str">
        <x:v>3D打印件</x:v>
      </x:c>
      <x:c r="J17" s="14" t="str">
        <x:v>样机首件；按公差说明验收</x:v>
      </x:c>
      <x:c r="K17" s="14" t="str">
        <x:v>manufacturing/print/P10_electronics_tray.step</x:v>
      </x:c>
      <x:c r="L17" s="14" t="str">
        <x:v>0.4喷嘴PETG；先打印孔/螺母槽试片，参见公差与装配说明。 V8.2已更新外形/接口，制造必须使用本版导出。</x:v>
      </x:c>
      <x:c r="M17" s="14" t="str"/>
    </x:row>
    <x:row r="18" ht="40" customHeight="1">
      <x:c r="A18" s="14" t="str">
        <x:v>P11</x:v>
      </x:c>
      <x:c r="B18" s="14" t="str">
        <x:v>M04</x:v>
      </x:c>
      <x:c r="C18" s="14" t="str">
        <x:v>Jetson右夹座</x:v>
      </x:c>
      <x:c r="D18" s="14" t="str">
        <x:v>125.5 × 22.2 × 9.4 mm 包络；详见STEP</x:v>
      </x:c>
      <x:c r="E18" s="15" t="n">
        <x:v>1</x:v>
      </x:c>
      <x:c r="F18" s="16" t="str">
        <x:v>件</x:v>
      </x:c>
      <x:c r="G18" s="14" t="str">
        <x:v>PETG</x:v>
      </x:c>
      <x:c r="H18" s="14" t="str">
        <x:v>FDM 3D打印</x:v>
      </x:c>
      <x:c r="I18" s="14" t="str">
        <x:v>3D打印件</x:v>
      </x:c>
      <x:c r="J18" s="14" t="str">
        <x:v>样机首件；按公差说明验收</x:v>
      </x:c>
      <x:c r="K18" s="14" t="str">
        <x:v>manufacturing/print/P11_Jetson_base_retainer_right.step</x:v>
      </x:c>
      <x:c r="L18" s="14" t="str">
        <x:v>0.4喷嘴PETG；先打印孔/螺母槽试片，参见公差与装配说明。</x:v>
      </x:c>
      <x:c r="M18" s="14" t="str"/>
    </x:row>
    <x:row r="19" ht="40" customHeight="1">
      <x:c r="A19" s="14" t="str">
        <x:v>P12</x:v>
      </x:c>
      <x:c r="B19" s="14" t="str">
        <x:v>M04</x:v>
      </x:c>
      <x:c r="C19" s="14" t="str">
        <x:v>Jetson左夹座</x:v>
      </x:c>
      <x:c r="D19" s="14" t="str">
        <x:v>125.5 × 22.2 × 9.4 mm 包络；详见STEP</x:v>
      </x:c>
      <x:c r="E19" s="15" t="n">
        <x:v>1</x:v>
      </x:c>
      <x:c r="F19" s="16" t="str">
        <x:v>件</x:v>
      </x:c>
      <x:c r="G19" s="14" t="str">
        <x:v>PETG</x:v>
      </x:c>
      <x:c r="H19" s="14" t="str">
        <x:v>FDM 3D打印</x:v>
      </x:c>
      <x:c r="I19" s="14" t="str">
        <x:v>3D打印件</x:v>
      </x:c>
      <x:c r="J19" s="14" t="str">
        <x:v>样机首件；按公差说明验收</x:v>
      </x:c>
      <x:c r="K19" s="14" t="str">
        <x:v>manufacturing/print/P12_Jetson_base_retainer_left.step</x:v>
      </x:c>
      <x:c r="L19" s="14" t="str">
        <x:v>0.4喷嘴PETG；先打印孔/螺母槽试片，参见公差与装配说明。</x:v>
      </x:c>
      <x:c r="M19" s="14" t="str"/>
    </x:row>
    <x:row r="20" ht="55" customHeight="1">
      <x:c r="A20" s="14" t="str">
        <x:v>P13</x:v>
      </x:c>
      <x:c r="B20" s="14" t="str">
        <x:v>M05</x:v>
      </x:c>
      <x:c r="C20" s="14" t="str">
        <x:v>D435一体后座</x:v>
      </x:c>
      <x:c r="D20" s="14" t="str">
        <x:v>24.0 × 108.0 × 28.05 mm 包络；详见STEP</x:v>
      </x:c>
      <x:c r="E20" s="15" t="n">
        <x:v>1</x:v>
      </x:c>
      <x:c r="F20" s="16" t="str">
        <x:v>件</x:v>
      </x:c>
      <x:c r="G20" s="14" t="str">
        <x:v>PETG</x:v>
      </x:c>
      <x:c r="H20" s="14" t="str">
        <x:v>FDM 3D打印</x:v>
      </x:c>
      <x:c r="I20" s="14" t="str">
        <x:v>3D打印件</x:v>
      </x:c>
      <x:c r="J20" s="14" t="str">
        <x:v>样机首件；按公差说明验收</x:v>
      </x:c>
      <x:c r="K20" s="14" t="str">
        <x:v>manufacturing/print/P13_D435_embedded_bracket.step</x:v>
      </x:c>
      <x:c r="L20" s="14" t="str">
        <x:v>0.4喷嘴PETG；先打印孔/螺母槽试片，参见公差与装配说明。默认25.05深相机；26.05深相机用alternates替代，二选一，仅计1件。</x:v>
      </x:c>
      <x:c r="M20" s="14" t="str"/>
    </x:row>
    <x:row r="21" ht="40" customHeight="1">
      <x:c r="A21" s="14" t="str">
        <x:v>P14</x:v>
      </x:c>
      <x:c r="B21" s="14" t="str">
        <x:v>M04</x:v>
      </x:c>
      <x:c r="C21" s="14" t="str">
        <x:v>IMU刚性安装桥</x:v>
      </x:c>
      <x:c r="D21" s="14" t="str">
        <x:v>36.0 × 143.0 × 32.0 mm 包络；详见STEP</x:v>
      </x:c>
      <x:c r="E21" s="15" t="n">
        <x:v>1</x:v>
      </x:c>
      <x:c r="F21" s="16" t="str">
        <x:v>件</x:v>
      </x:c>
      <x:c r="G21" s="14" t="str">
        <x:v>6061-T6铝合金</x:v>
      </x:c>
      <x:c r="H21" s="14" t="str">
        <x:v>CNC铣削/车铣</x:v>
      </x:c>
      <x:c r="I21" s="14" t="str">
        <x:v>定制金属件</x:v>
      </x:c>
      <x:c r="J21" s="14" t="str">
        <x:v>样机首件；按公差说明验收</x:v>
      </x:c>
      <x:c r="K21" s="14" t="str">
        <x:v>manufacturing/metal/P14_HI13R2_rigid_bridge.step</x:v>
      </x:c>
      <x:c r="L21" s="14" t="str">
        <x:v>承力或刚性定位件；6061-T6 CNC，螺纹/轴承座/薄耳需精加工；不可直接替换普通钣金或PETG。</x:v>
      </x:c>
      <x:c r="M21" s="14" t="str"/>
    </x:row>
    <x:row r="22" ht="40" customHeight="1">
      <x:c r="A22" s="14" t="str">
        <x:v>P15</x:v>
      </x:c>
      <x:c r="B22" s="14" t="str">
        <x:v>M05</x:v>
      </x:c>
      <x:c r="C22" s="14" t="str">
        <x:v>屏幕右托夹</x:v>
      </x:c>
      <x:c r="D22" s="14" t="str">
        <x:v>81.5 × 16.0 × 17.5 mm 包络；详见STEP</x:v>
      </x:c>
      <x:c r="E22" s="15" t="n">
        <x:v>1</x:v>
      </x:c>
      <x:c r="F22" s="16" t="str">
        <x:v>件</x:v>
      </x:c>
      <x:c r="G22" s="14" t="str">
        <x:v>PETG</x:v>
      </x:c>
      <x:c r="H22" s="14" t="str">
        <x:v>FDM 3D打印</x:v>
      </x:c>
      <x:c r="I22" s="14" t="str">
        <x:v>3D打印件</x:v>
      </x:c>
      <x:c r="J22" s="14" t="str">
        <x:v>样机首件；按公差说明验收</x:v>
      </x:c>
      <x:c r="K22" s="14" t="str">
        <x:v>manufacturing/print/P15_display_case_cradle_right.step</x:v>
      </x:c>
      <x:c r="L22" s="14" t="str">
        <x:v>0.4喷嘴PETG；先打印孔/螺母槽试片，参见公差与装配说明。</x:v>
      </x:c>
      <x:c r="M22" s="14" t="str"/>
    </x:row>
    <x:row r="23" ht="40" customHeight="1">
      <x:c r="A23" s="14" t="str">
        <x:v>P16</x:v>
      </x:c>
      <x:c r="B23" s="14" t="str">
        <x:v>M05</x:v>
      </x:c>
      <x:c r="C23" s="14" t="str">
        <x:v>屏幕左托夹</x:v>
      </x:c>
      <x:c r="D23" s="14" t="str">
        <x:v>81.5 × 16.0 × 17.5 mm 包络；详见STEP</x:v>
      </x:c>
      <x:c r="E23" s="15" t="n">
        <x:v>1</x:v>
      </x:c>
      <x:c r="F23" s="16" t="str">
        <x:v>件</x:v>
      </x:c>
      <x:c r="G23" s="14" t="str">
        <x:v>PETG</x:v>
      </x:c>
      <x:c r="H23" s="14" t="str">
        <x:v>FDM 3D打印</x:v>
      </x:c>
      <x:c r="I23" s="14" t="str">
        <x:v>3D打印件</x:v>
      </x:c>
      <x:c r="J23" s="14" t="str">
        <x:v>样机首件；按公差说明验收</x:v>
      </x:c>
      <x:c r="K23" s="14" t="str">
        <x:v>manufacturing/print/P16_display_case_cradle_left.step</x:v>
      </x:c>
      <x:c r="L23" s="14" t="str">
        <x:v>0.4喷嘴PETG；先打印孔/螺母槽试片，参见公差与装配说明。</x:v>
      </x:c>
      <x:c r="M23" s="14" t="str"/>
    </x:row>
    <x:row r="24" ht="55" customHeight="1">
      <x:c r="A24" s="14" t="str">
        <x:v>P17</x:v>
      </x:c>
      <x:c r="B24" s="14" t="str">
        <x:v>M01、M02</x:v>
      </x:c>
      <x:c r="C24" s="14" t="str">
        <x:v>左右通用髋定子座</x:v>
      </x:c>
      <x:c r="D24" s="14" t="str">
        <x:v>78.0 × 78.0 × 6.0 mm 包络；详见STEP</x:v>
      </x:c>
      <x:c r="E24" s="15" t="n">
        <x:v>2</x:v>
      </x:c>
      <x:c r="F24" s="16" t="str">
        <x:v>件</x:v>
      </x:c>
      <x:c r="G24" s="14" t="str">
        <x:v>6061-T6铝合金</x:v>
      </x:c>
      <x:c r="H24" s="14" t="str">
        <x:v>CNC铣削/车铣</x:v>
      </x:c>
      <x:c r="I24" s="14" t="str">
        <x:v>定制金属件</x:v>
      </x:c>
      <x:c r="J24" s="14" t="str">
        <x:v>样机首件；按公差说明验收</x:v>
      </x:c>
      <x:c r="K24" s="14" t="str">
        <x:v>manufacturing/metal/P17_hip_stator_mount.step</x:v>
      </x:c>
      <x:c r="L24" s="14" t="str">
        <x:v>承力或刚性定位件；6061-T6 CNC，螺纹/轴承座/薄耳需精加工；不可直接替换普通钣金或PETG。同一制造型号加工2件，按装配方向翻转；等形证据见别名审查。</x:v>
      </x:c>
      <x:c r="M24" s="14" t="str"/>
    </x:row>
    <x:row r="25" ht="55" customHeight="1">
      <x:c r="A25" s="14" t="str">
        <x:v>P18</x:v>
      </x:c>
      <x:c r="B25" s="14" t="str">
        <x:v>M01、M02</x:v>
      </x:c>
      <x:c r="C25" s="14" t="str">
        <x:v>左右通用髋转子法兰</x:v>
      </x:c>
      <x:c r="D25" s="14" t="str">
        <x:v>42.957 × 43.0 × 10.3 mm 包络；详见STEP</x:v>
      </x:c>
      <x:c r="E25" s="15" t="n">
        <x:v>2</x:v>
      </x:c>
      <x:c r="F25" s="16" t="str">
        <x:v>件</x:v>
      </x:c>
      <x:c r="G25" s="14" t="str">
        <x:v>6061-T6铝合金</x:v>
      </x:c>
      <x:c r="H25" s="14" t="str">
        <x:v>CNC铣削/车铣</x:v>
      </x:c>
      <x:c r="I25" s="14" t="str">
        <x:v>定制金属件</x:v>
      </x:c>
      <x:c r="J25" s="14" t="str">
        <x:v>样机首件；按公差说明验收</x:v>
      </x:c>
      <x:c r="K25" s="14" t="str">
        <x:v>manufacturing/metal/P18_hip_rotor_cnc.step</x:v>
      </x:c>
      <x:c r="L25" s="14" t="str">
        <x:v>承力或刚性定位件；6061-T6 CNC，螺纹/轴承座/薄耳需精加工；不可直接替换普通钣金或PETG。同一制造型号加工2件，按装配方向翻转；等形证据见别名审查。</x:v>
      </x:c>
      <x:c r="M25" s="14" t="str"/>
    </x:row>
    <x:row r="26" ht="40" customHeight="1">
      <x:c r="A26" s="14" t="str">
        <x:v>P19</x:v>
      </x:c>
      <x:c r="B26" s="14" t="str">
        <x:v>M02</x:v>
      </x:c>
      <x:c r="C26" s="14" t="str">
        <x:v>右膝定子套杯</x:v>
      </x:c>
      <x:c r="D26" s="14" t="str">
        <x:v>56.943 × 57.0 × 11.6 mm 包络；详见STEP</x:v>
      </x:c>
      <x:c r="E26" s="15" t="n">
        <x:v>1</x:v>
      </x:c>
      <x:c r="F26" s="16" t="str">
        <x:v>件</x:v>
      </x:c>
      <x:c r="G26" s="14" t="str">
        <x:v>6061-T6铝合金</x:v>
      </x:c>
      <x:c r="H26" s="14" t="str">
        <x:v>CNC铣削/车铣</x:v>
      </x:c>
      <x:c r="I26" s="14" t="str">
        <x:v>定制金属件</x:v>
      </x:c>
      <x:c r="J26" s="14" t="str">
        <x:v>样机首件；按公差说明验收</x:v>
      </x:c>
      <x:c r="K26" s="14" t="str">
        <x:v>manufacturing/metal/P19_knee_stator_cnc.step</x:v>
      </x:c>
      <x:c r="L26" s="14" t="str">
        <x:v>承力或刚性定位件；6061-T6 CNC，螺纹/轴承座/薄耳需精加工；不可直接替换普通钣金或PETG。</x:v>
      </x:c>
      <x:c r="M26" s="14" t="str"/>
    </x:row>
    <x:row r="27" ht="40" customHeight="1">
      <x:c r="A27" s="14" t="str">
        <x:v>P20</x:v>
      </x:c>
      <x:c r="B27" s="14" t="str">
        <x:v>M01</x:v>
      </x:c>
      <x:c r="C27" s="14" t="str">
        <x:v>左膝定子套杯</x:v>
      </x:c>
      <x:c r="D27" s="14" t="str">
        <x:v>56.943 × 57.0 × 11.6 mm 包络；详见STEP</x:v>
      </x:c>
      <x:c r="E27" s="15" t="n">
        <x:v>1</x:v>
      </x:c>
      <x:c r="F27" s="16" t="str">
        <x:v>件</x:v>
      </x:c>
      <x:c r="G27" s="14" t="str">
        <x:v>6061-T6铝合金</x:v>
      </x:c>
      <x:c r="H27" s="14" t="str">
        <x:v>CNC铣削/车铣</x:v>
      </x:c>
      <x:c r="I27" s="14" t="str">
        <x:v>定制金属件</x:v>
      </x:c>
      <x:c r="J27" s="14" t="str">
        <x:v>样机首件；按公差说明验收</x:v>
      </x:c>
      <x:c r="K27" s="14" t="str">
        <x:v>manufacturing/metal/P20_knee_stator_cnc_left.step</x:v>
      </x:c>
      <x:c r="L27" s="14" t="str">
        <x:v>承力或刚性定位件；6061-T6 CNC，螺纹/轴承座/薄耳需精加工；不可直接替换普通钣金或PETG。</x:v>
      </x:c>
      <x:c r="M27" s="14" t="str"/>
    </x:row>
    <x:row r="28" ht="40" customHeight="1">
      <x:c r="A28" s="14" t="str">
        <x:v>P21</x:v>
      </x:c>
      <x:c r="B28" s="14" t="str">
        <x:v>M02</x:v>
      </x:c>
      <x:c r="C28" s="14" t="str">
        <x:v>右OB内框</x:v>
      </x:c>
      <x:c r="D28" s="14" t="str">
        <x:v>57.0 × 173.984 × 7.5 mm 包络；详见STEP</x:v>
      </x:c>
      <x:c r="E28" s="15" t="n">
        <x:v>1</x:v>
      </x:c>
      <x:c r="F28" s="16" t="str">
        <x:v>件</x:v>
      </x:c>
      <x:c r="G28" s="14" t="str">
        <x:v>6061-T6铝合金</x:v>
      </x:c>
      <x:c r="H28" s="14" t="str">
        <x:v>CNC铣削/车铣</x:v>
      </x:c>
      <x:c r="I28" s="14" t="str">
        <x:v>定制金属件</x:v>
      </x:c>
      <x:c r="J28" s="14" t="str">
        <x:v>样机首件；按公差说明验收</x:v>
      </x:c>
      <x:c r="K28" s="14" t="str">
        <x:v>manufacturing/metal/P21_OB_inner_carrier.step</x:v>
      </x:c>
      <x:c r="L28" s="14" t="str">
        <x:v>承力或刚性定位件；6061-T6 CNC，螺纹/轴承座/薄耳需精加工；不可直接替换普通钣金或PETG。</x:v>
      </x:c>
      <x:c r="M28" s="14" t="str"/>
    </x:row>
    <x:row r="29" ht="40" customHeight="1">
      <x:c r="A29" s="14" t="str">
        <x:v>P22</x:v>
      </x:c>
      <x:c r="B29" s="14" t="str">
        <x:v>M01</x:v>
      </x:c>
      <x:c r="C29" s="14" t="str">
        <x:v>左OB内框</x:v>
      </x:c>
      <x:c r="D29" s="14" t="str">
        <x:v>57.0 × 173.984 × 7.5 mm 包络；详见STEP</x:v>
      </x:c>
      <x:c r="E29" s="15" t="n">
        <x:v>1</x:v>
      </x:c>
      <x:c r="F29" s="16" t="str">
        <x:v>件</x:v>
      </x:c>
      <x:c r="G29" s="14" t="str">
        <x:v>6061-T6铝合金</x:v>
      </x:c>
      <x:c r="H29" s="14" t="str">
        <x:v>CNC铣削/车铣</x:v>
      </x:c>
      <x:c r="I29" s="14" t="str">
        <x:v>定制金属件</x:v>
      </x:c>
      <x:c r="J29" s="14" t="str">
        <x:v>样机首件；按公差说明验收</x:v>
      </x:c>
      <x:c r="K29" s="14" t="str">
        <x:v>manufacturing/metal/P22_OB_inner_carrier_left.step</x:v>
      </x:c>
      <x:c r="L29" s="14" t="str">
        <x:v>承力或刚性定位件；6061-T6 CNC，螺纹/轴承座/薄耳需精加工；不可直接替换普通钣金或PETG。</x:v>
      </x:c>
      <x:c r="M29" s="14" t="str"/>
    </x:row>
    <x:row r="30" ht="40" customHeight="1">
      <x:c r="A30" s="14" t="str">
        <x:v>P23</x:v>
      </x:c>
      <x:c r="B30" s="14" t="str">
        <x:v>M02</x:v>
      </x:c>
      <x:c r="C30" s="14" t="str">
        <x:v>右OB外包主臂</x:v>
      </x:c>
      <x:c r="D30" s="14" t="str">
        <x:v>57.0 × 176.482 × 22.8 mm 包络；详见STEP</x:v>
      </x:c>
      <x:c r="E30" s="15" t="n">
        <x:v>1</x:v>
      </x:c>
      <x:c r="F30" s="16" t="str">
        <x:v>件</x:v>
      </x:c>
      <x:c r="G30" s="14" t="str">
        <x:v>6061-T6铝合金</x:v>
      </x:c>
      <x:c r="H30" s="14" t="str">
        <x:v>CNC铣削/车铣</x:v>
      </x:c>
      <x:c r="I30" s="14" t="str">
        <x:v>定制金属件</x:v>
      </x:c>
      <x:c r="J30" s="14" t="str">
        <x:v>样机首件；按公差说明验收</x:v>
      </x:c>
      <x:c r="K30" s="14" t="str">
        <x:v>manufacturing/metal/P23_OB_outer_shell.step</x:v>
      </x:c>
      <x:c r="L30" s="14" t="str">
        <x:v>承力或刚性定位件；6061-T6 CNC，螺纹/轴承座/薄耳需精加工；不可直接替换普通钣金或PETG。</x:v>
      </x:c>
      <x:c r="M30" s="14" t="str"/>
    </x:row>
    <x:row r="31" ht="40" customHeight="1">
      <x:c r="A31" s="14" t="str">
        <x:v>P24</x:v>
      </x:c>
      <x:c r="B31" s="14" t="str">
        <x:v>M01</x:v>
      </x:c>
      <x:c r="C31" s="14" t="str">
        <x:v>左OB外包主臂</x:v>
      </x:c>
      <x:c r="D31" s="14" t="str">
        <x:v>57.0 × 176.482 × 22.8 mm 包络；详见STEP</x:v>
      </x:c>
      <x:c r="E31" s="15" t="n">
        <x:v>1</x:v>
      </x:c>
      <x:c r="F31" s="16" t="str">
        <x:v>件</x:v>
      </x:c>
      <x:c r="G31" s="14" t="str">
        <x:v>6061-T6铝合金</x:v>
      </x:c>
      <x:c r="H31" s="14" t="str">
        <x:v>CNC铣削/车铣</x:v>
      </x:c>
      <x:c r="I31" s="14" t="str">
        <x:v>定制金属件</x:v>
      </x:c>
      <x:c r="J31" s="14" t="str">
        <x:v>样机首件；按公差说明验收</x:v>
      </x:c>
      <x:c r="K31" s="14" t="str">
        <x:v>manufacturing/metal/P24_OB_outer_shell_left.step</x:v>
      </x:c>
      <x:c r="L31" s="14" t="str">
        <x:v>承力或刚性定位件；6061-T6 CNC，螺纹/轴承座/薄耳需精加工；不可直接替换普通钣金或PETG。</x:v>
      </x:c>
      <x:c r="M31" s="14" t="str"/>
    </x:row>
    <x:row r="32" ht="55" customHeight="1">
      <x:c r="A32" s="14" t="str">
        <x:v>P25</x:v>
      </x:c>
      <x:c r="B32" s="14" t="str">
        <x:v>M01、M02</x:v>
      </x:c>
      <x:c r="C32" s="14" t="str">
        <x:v>左右通用OA曲柄</x:v>
      </x:c>
      <x:c r="D32" s="14" t="str">
        <x:v>43.996 × 79.987 × 22.8 mm 包络；详见STEP</x:v>
      </x:c>
      <x:c r="E32" s="15" t="n">
        <x:v>2</x:v>
      </x:c>
      <x:c r="F32" s="16" t="str">
        <x:v>件</x:v>
      </x:c>
      <x:c r="G32" s="14" t="str">
        <x:v>6061-T6铝合金</x:v>
      </x:c>
      <x:c r="H32" s="14" t="str">
        <x:v>CNC铣削/车铣</x:v>
      </x:c>
      <x:c r="I32" s="14" t="str">
        <x:v>定制金属件</x:v>
      </x:c>
      <x:c r="J32" s="14" t="str">
        <x:v>样机首件；按公差说明验收</x:v>
      </x:c>
      <x:c r="K32" s="14" t="str">
        <x:v>manufacturing/metal/P25_OA_one_piece.step</x:v>
      </x:c>
      <x:c r="L32" s="14" t="str">
        <x:v>承力或刚性定位件；6061-T6 CNC，螺纹/轴承座/薄耳需精加工；不可直接替换普通钣金或PETG。同一制造型号加工2件，按装配方向翻转；等形证据见别名审查。</x:v>
      </x:c>
      <x:c r="M32" s="14" t="str"/>
    </x:row>
    <x:row r="33" ht="55" customHeight="1">
      <x:c r="A33" s="14" t="str">
        <x:v>P26</x:v>
      </x:c>
      <x:c r="B33" s="14" t="str">
        <x:v>M01、M02</x:v>
      </x:c>
      <x:c r="C33" s="14" t="str">
        <x:v>左右通用AC轴承连杆</x:v>
      </x:c>
      <x:c r="D33" s="14" t="str">
        <x:v>30.972 × 161.0 × 8.0 mm 包络；详见STEP</x:v>
      </x:c>
      <x:c r="E33" s="15" t="n">
        <x:v>2</x:v>
      </x:c>
      <x:c r="F33" s="16" t="str">
        <x:v>件</x:v>
      </x:c>
      <x:c r="G33" s="14" t="str">
        <x:v>6061-T6铝合金</x:v>
      </x:c>
      <x:c r="H33" s="14" t="str">
        <x:v>CNC铣削/车铣</x:v>
      </x:c>
      <x:c r="I33" s="14" t="str">
        <x:v>定制金属件</x:v>
      </x:c>
      <x:c r="J33" s="14" t="str">
        <x:v>样机首件；按公差说明验收</x:v>
      </x:c>
      <x:c r="K33" s="14" t="str">
        <x:v>manufacturing/metal/P26_AC_bearing_link.step</x:v>
      </x:c>
      <x:c r="L33" s="14" t="str">
        <x:v>承力或刚性定位件；6061-T6 CNC，螺纹/轴承座/薄耳需精加工；不可直接替换普通钣金或PETG。同一制造型号加工2件，按装配方向翻转；等形证据见别名审查。</x:v>
      </x:c>
      <x:c r="M33" s="14" t="str"/>
    </x:row>
    <x:row r="34" ht="40" customHeight="1">
      <x:c r="A34" s="14" t="str">
        <x:v>P27</x:v>
      </x:c>
      <x:c r="B34" s="14" t="str">
        <x:v>M02</x:v>
      </x:c>
      <x:c r="C34" s="14" t="str">
        <x:v>右CW下臂</x:v>
      </x:c>
      <x:c r="D34" s="14" t="str">
        <x:v>44.0 × 184.978 × 15.0 mm 包络；详见STEP</x:v>
      </x:c>
      <x:c r="E34" s="15" t="n">
        <x:v>1</x:v>
      </x:c>
      <x:c r="F34" s="16" t="str">
        <x:v>件</x:v>
      </x:c>
      <x:c r="G34" s="14" t="str">
        <x:v>6061-T6铝合金</x:v>
      </x:c>
      <x:c r="H34" s="14" t="str">
        <x:v>CNC铣削/车铣</x:v>
      </x:c>
      <x:c r="I34" s="14" t="str">
        <x:v>定制金属件</x:v>
      </x:c>
      <x:c r="J34" s="14" t="str">
        <x:v>样机首件；按公差说明验收</x:v>
      </x:c>
      <x:c r="K34" s="14" t="str">
        <x:v>manufacturing/metal/P27_CW_one_piece.step</x:v>
      </x:c>
      <x:c r="L34" s="14" t="str">
        <x:v>承力或刚性定位件；6061-T6 CNC，螺纹/轴承座/薄耳需精加工；不可直接替换普通钣金或PETG。</x:v>
      </x:c>
      <x:c r="M34" s="14" t="str"/>
    </x:row>
    <x:row r="35" ht="40" customHeight="1">
      <x:c r="A35" s="14" t="str">
        <x:v>P28</x:v>
      </x:c>
      <x:c r="B35" s="14" t="str">
        <x:v>M01</x:v>
      </x:c>
      <x:c r="C35" s="14" t="str">
        <x:v>左CW下臂</x:v>
      </x:c>
      <x:c r="D35" s="14" t="str">
        <x:v>44.0 × 184.978 × 15.0 mm 包络；详见STEP</x:v>
      </x:c>
      <x:c r="E35" s="15" t="n">
        <x:v>1</x:v>
      </x:c>
      <x:c r="F35" s="16" t="str">
        <x:v>件</x:v>
      </x:c>
      <x:c r="G35" s="14" t="str">
        <x:v>6061-T6铝合金</x:v>
      </x:c>
      <x:c r="H35" s="14" t="str">
        <x:v>CNC铣削/车铣</x:v>
      </x:c>
      <x:c r="I35" s="14" t="str">
        <x:v>定制金属件</x:v>
      </x:c>
      <x:c r="J35" s="14" t="str">
        <x:v>样机首件；按公差说明验收</x:v>
      </x:c>
      <x:c r="K35" s="14" t="str">
        <x:v>manufacturing/metal/P28_CW_one_piece_left.step</x:v>
      </x:c>
      <x:c r="L35" s="14" t="str">
        <x:v>承力或刚性定位件；6061-T6 CNC，螺纹/轴承座/薄耳需精加工；不可直接替换普通钣金或PETG。</x:v>
      </x:c>
      <x:c r="M35" s="14" t="str"/>
    </x:row>
    <x:row r="36" ht="55" customHeight="1">
      <x:c r="A36" s="14" t="str">
        <x:v>P29</x:v>
      </x:c>
      <x:c r="B36" s="14" t="str">
        <x:v>M01、M02</x:v>
      </x:c>
      <x:c r="C36" s="14" t="str">
        <x:v>通用轮辋</x:v>
      </x:c>
      <x:c r="D36" s="14" t="str">
        <x:v>89.985 × 89.971 × 40.5 mm 包络；详见STEP</x:v>
      </x:c>
      <x:c r="E36" s="15" t="n">
        <x:v>2</x:v>
      </x:c>
      <x:c r="F36" s="16" t="str">
        <x:v>件</x:v>
      </x:c>
      <x:c r="G36" s="14" t="str">
        <x:v>6061-T6铝合金</x:v>
      </x:c>
      <x:c r="H36" s="14" t="str">
        <x:v>CNC铣削/车铣</x:v>
      </x:c>
      <x:c r="I36" s="14" t="str">
        <x:v>定制金属件</x:v>
      </x:c>
      <x:c r="J36" s="14" t="str">
        <x:v>样机首件；按公差说明验收</x:v>
      </x:c>
      <x:c r="K36" s="14" t="str">
        <x:v>manufacturing/metal/P29_wheel_rim.step</x:v>
      </x:c>
      <x:c r="L36" s="14" t="str">
        <x:v>承力或刚性定位件；6061-T6 CNC，螺纹/轴承座/薄耳需精加工；不可直接替换普通钣金或PETG。同一制造型号加工2件，按装配方向翻转；等形证据见别名审查。</x:v>
      </x:c>
      <x:c r="M36" s="14" t="str"/>
    </x:row>
    <x:row r="37" ht="40" customHeight="1">
      <x:c r="A37" s="14" t="str">
        <x:v>LC01</x:v>
      </x:c>
      <x:c r="B37" s="14" t="str">
        <x:v>M01、M02</x:v>
      </x:c>
      <x:c r="C37" s="14" t="str">
        <x:v>轴承外圈压盖</x:v>
      </x:c>
      <x:c r="D37" s="14" t="str">
        <x:v>Ø28/Ø16.8×0.8；3-Ø2.2 PCD24</x:v>
      </x:c>
      <x:c r="E37" s="15" t="n">
        <x:v>6</x:v>
      </x:c>
      <x:c r="F37" s="16" t="str">
        <x:v>件</x:v>
      </x:c>
      <x:c r="G37" s="14" t="str">
        <x:v>不锈钢板</x:v>
      </x:c>
      <x:c r="H37" s="14" t="str">
        <x:v>精密薄板切割/整平</x:v>
      </x:c>
      <x:c r="I37" s="14" t="str">
        <x:v>定制金属件</x:v>
      </x:c>
      <x:c r="J37" s="14" t="str">
        <x:v>原型装配规格；未验证跳跃强度</x:v>
      </x:c>
      <x:c r="K37" s="14" t="str">
        <x:v>manufacturing/metal/LC01_bearing_keeper_D28_D16_8_t0_8.step</x:v>
      </x:c>
      <x:c r="L37" s="14" t="str">
        <x:v>激光/精密板切割后去毛刺整平；薄型结构不够放DIN472槽+保边，保留压盖。</x:v>
      </x:c>
      <x:c r="M37" s="14" t="str"/>
    </x:row>
    <x:row r="38" ht="40" customHeight="1">
      <x:c r="A38" s="14" t="str">
        <x:v>LC02</x:v>
      </x:c>
      <x:c r="B38" s="14" t="str">
        <x:v>M01、M02</x:v>
      </x:c>
      <x:c r="C38" s="14" t="str">
        <x:v>双端内螺纹关节轴销</x:v>
      </x:c>
      <x:c r="D38" s="14" t="str">
        <x:v>Ø6×14.05；两端M2×0.4完整牙≥4.3；底孔深4.6</x:v>
      </x:c>
      <x:c r="E38" s="15" t="n">
        <x:v>6</x:v>
      </x:c>
      <x:c r="F38" s="16" t="str">
        <x:v>件</x:v>
      </x:c>
      <x:c r="G38" s="14" t="str">
        <x:v>40Cr调质后精磨；具体硬度按试验定</x:v>
      </x:c>
      <x:c r="H38" s="14" t="str">
        <x:v>CNC车削/精磨/二次加工</x:v>
      </x:c>
      <x:c r="I38" s="14" t="str">
        <x:v>定制金属件</x:v>
      </x:c>
      <x:c r="J38" s="14" t="str">
        <x:v>原型装配规格；未验证跳跃强度</x:v>
      </x:c>
      <x:c r="K38" s="14" t="str">
        <x:v>manufacturing/metal/LC02_female_pin_D6_L14_05.step</x:v>
      </x:c>
      <x:c r="L38" s="14" t="str">
        <x:v>六个A/B/C轴同一种；非标准肩螺栓。外形冻结，轴径按轴承实测选配；名义中心实心段4.85 mm。</x:v>
      </x:c>
      <x:c r="M38" s="14" t="str"/>
    </x:row>
    <x:row r="39" ht="40" customHeight="1">
      <x:c r="A39" s="14" t="str">
        <x:v>LC03</x:v>
      </x:c>
      <x:c r="B39" s="14" t="str">
        <x:v>M01、M02</x:v>
      </x:c>
      <x:c r="C39" s="14" t="str">
        <x:v>内侧一体带肩衬套</x:v>
      </x:c>
      <x:c r="D39" s="14" t="str">
        <x:v>铜套Ø8/Ø6.05×2.5＋肩Ø8.4/Ø6.2×1.25；总长3.75</x:v>
      </x:c>
      <x:c r="E39" s="15" t="n">
        <x:v>6</x:v>
      </x:c>
      <x:c r="F39" s="16" t="str">
        <x:v>件</x:v>
      </x:c>
      <x:c r="G39" s="14" t="str">
        <x:v>轴承青铜CuSn12</x:v>
      </x:c>
      <x:c r="H39" s="14" t="str">
        <x:v>CNC车削/精磨/二次加工</x:v>
      </x:c>
      <x:c r="I39" s="14" t="str">
        <x:v>定制金属件</x:v>
      </x:c>
      <x:c r="J39" s="14" t="str">
        <x:v>原型装配规格；未验证跳跃强度</x:v>
      </x:c>
      <x:c r="K39" s="14" t="str">
        <x:v>manufacturing/metal/LC03_flanged_bush_inner_D8_D8p4_L3p75.step</x:v>
      </x:c>
      <x:c r="L39" s="14" t="str">
        <x:v>精密车削；Ø8段朝内叉耳，Ø8.4肩朝轴承。替代独立铜套+1.25隔圈；轻压装，不用窄肩传递轴承预载。</x:v>
      </x:c>
      <x:c r="M39" s="14" t="str"/>
    </x:row>
    <x:row r="40" ht="40" customHeight="1">
      <x:c r="A40" s="14" t="str">
        <x:v>LC04</x:v>
      </x:c>
      <x:c r="B40" s="14" t="str">
        <x:v>M01、M02</x:v>
      </x:c>
      <x:c r="C40" s="14" t="str">
        <x:v>外侧一体带肩衬套</x:v>
      </x:c>
      <x:c r="D40" s="14" t="str">
        <x:v>肩Ø8.4/Ø6.2×1.70＋铜套Ø8/Ø6.05×2.5；总长4.20</x:v>
      </x:c>
      <x:c r="E40" s="15" t="n">
        <x:v>6</x:v>
      </x:c>
      <x:c r="F40" s="16" t="str">
        <x:v>件</x:v>
      </x:c>
      <x:c r="G40" s="14" t="str">
        <x:v>轴承青铜CuSn12</x:v>
      </x:c>
      <x:c r="H40" s="14" t="str">
        <x:v>CNC车削/精磨/二次加工</x:v>
      </x:c>
      <x:c r="I40" s="14" t="str">
        <x:v>定制金属件</x:v>
      </x:c>
      <x:c r="J40" s="14" t="str">
        <x:v>原型装配规格；未验证跳跃强度</x:v>
      </x:c>
      <x:c r="K40" s="14" t="str">
        <x:v>manufacturing/metal/LC04_flanged_bush_outer_D8_D8p4_L4p20.step</x:v>
      </x:c>
      <x:c r="L40" s="14" t="str">
        <x:v>精密车削；Ø8段朝外叉耳，Ø8.4肩朝轴承。名义游隙0.05留在肩与轴承内圈之间，避免压盖/轴销锁死轴承。</x:v>
      </x:c>
      <x:c r="M40" s="14" t="str"/>
    </x:row>
    <x:row r="41" ht="40" customHeight="1">
      <x:c r="A41" s="14" t="str">
        <x:v>LC05</x:v>
      </x:c>
      <x:c r="B41" s="14" t="str">
        <x:v>M01、M02</x:v>
      </x:c>
      <x:c r="C41" s="14" t="str">
        <x:v>轴销薄防脱挡片</x:v>
      </x:c>
      <x:c r="D41" s="14" t="str">
        <x:v>Ø9/Ø2.2×0.20</x:v>
      </x:c>
      <x:c r="E41" s="15" t="n">
        <x:v>12</x:v>
      </x:c>
      <x:c r="F41" s="16" t="str">
        <x:v>件</x:v>
      </x:c>
      <x:c r="G41" s="14" t="str">
        <x:v>钢精密垫片料</x:v>
      </x:c>
      <x:c r="H41" s="14" t="str">
        <x:v>精密薄板切割/整平</x:v>
      </x:c>
      <x:c r="I41" s="14" t="str">
        <x:v>定制金属件</x:v>
      </x:c>
      <x:c r="J41" s="14" t="str">
        <x:v>原型装配规格；未验证跳跃强度</x:v>
      </x:c>
      <x:c r="K41" s="14" t="str">
        <x:v>manufacturing/metal/LC05_axis_washer_D9_d2_2_t0_2.step</x:v>
      </x:c>
      <x:c r="L41" s="14" t="str">
        <x:v>定制功能挡片，不是标准采购垫片。单一规格12件，避免用大/小标准垫片叠层增加散件。</x:v>
      </x:c>
      <x:c r="M41" s="14" t="str"/>
    </x:row>
    <x:row r="42" ht="40" customHeight="1">
      <x:c r="A42" s="14" t="str">
        <x:v>LC06</x:v>
      </x:c>
      <x:c r="B42" s="14" t="str">
        <x:v>M01、M02</x:v>
      </x:c>
      <x:c r="C42" s="14" t="str">
        <x:v>OA装配限位肩销</x:v>
      </x:c>
      <x:c r="D42" s="14" t="str">
        <x:v>M3×3；Ø4肩长4.2；Ø7×1头，0.8槽</x:v>
      </x:c>
      <x:c r="E42" s="15" t="n">
        <x:v>2</x:v>
      </x:c>
      <x:c r="F42" s="16" t="str">
        <x:v>件</x:v>
      </x:c>
      <x:c r="G42" s="14" t="str">
        <x:v>钢；强度待验证</x:v>
      </x:c>
      <x:c r="H42" s="14" t="str">
        <x:v>CNC车削/精磨/二次加工</x:v>
      </x:c>
      <x:c r="I42" s="14" t="str">
        <x:v>定制金属件</x:v>
      </x:c>
      <x:c r="J42" s="14" t="str">
        <x:v>原型装配规格；未验证跳跃强度</x:v>
      </x:c>
      <x:c r="K42" s="14" t="str">
        <x:v>manufacturing/metal/LC06_OA_angular_stop_M3_D4.step</x:v>
      </x:c>
      <x:c r="L42" s="14" t="str">
        <x:v>只做装配角限位；禁止把它当作带电撞停或落地限位件。</x:v>
      </x:c>
      <x:c r="M42" s="14" t="str"/>
    </x:row>
    <x:row r="43" ht="175" customHeight="1">
      <x:c r="A43" s="14" t="str">
        <x:v>LH01</x:v>
      </x:c>
      <x:c r="B43" s="14" t="str">
        <x:v>M01、M02、M04、M05、M07</x:v>
      </x:c>
      <x:c r="C43" s="14" t="str">
        <x:v>内六角圆柱头螺钉</x:v>
      </x:c>
      <x:c r="D43" s="14" t="str">
        <x:v>ISO4762 M3×8</x:v>
      </x:c>
      <x:c r="E43" s="15" t="n">
        <x:v>46</x:v>
      </x:c>
      <x:c r="F43" s="16" t="str">
        <x:v>件</x:v>
      </x:c>
      <x:c r="G43" s="14" t="str">
        <x:v>钢8.8；发黑</x:v>
      </x:c>
      <x:c r="H43" s="14" t="str">
        <x:v>采购</x:v>
      </x:c>
      <x:c r="I43" s="14" t="str">
        <x:v>标准件</x:v>
      </x:c>
      <x:c r="J43" s="14" t="str">
        <x:v>原型装配规格；未验证跳跃强度</x:v>
      </x:c>
      <x:c r="K43" s="14" t="str">
        <x:v>https://www.norelem.es/medias/07160-ST-Datasheet-32102-Socket-head-screws-DIN-EN-ISO-4762-enhanced-steel-en.pdf?context=bWFzdGVyfHJvb3R8Mjc4MTEzfGFwcGxpY2F0aW9uL3BkZnxhREEyTDJobE5TODVORGt5TmpreE9ERXlNemd5THpBM01UWXdYMU5VWDBSaGRHRnphR1ZsZEY4ek1qRXdNbDlUYjJOclpYUmZhR1ZoWkY5elkzSmxkM05mUkVsT1gwVk9YMGxUVDE4ME56WXlYMlZ1YUdGdVkyVmtYM04wWldWc0xTMWxiaTV3WkdZfGM1Y2MxMzYwMDFiYzUzMDY3ZDQ4NTAxMWJhZmE0NTlmZWI2NjQ4OTY3NGI0MGRjZWY2NjU5MTZjMzJmODI1OTI；electrical_build.json</x:v>
      </x:c>
      <x:c r="L43" s="14" t="str">
        <x:v>通用长度；用于髋转子法兰、轮电机定子和轮辋。轮辋12枚为V8.1补齐。 机身用法见BODY_ASSEMBLY.md。</x:v>
      </x:c>
      <x:c r="M43" s="14" t="str">
        <x:v>ISO4762|M3x8|8.8|steel|black</x:v>
      </x:c>
    </x:row>
    <x:row r="44" ht="175" customHeight="1">
      <x:c r="A44" s="14" t="str">
        <x:v>LH02</x:v>
      </x:c>
      <x:c r="B44" s="14" t="str">
        <x:v>M01、M02、M06</x:v>
      </x:c>
      <x:c r="C44" s="14" t="str">
        <x:v>内六角圆柱头螺钉</x:v>
      </x:c>
      <x:c r="D44" s="14" t="str">
        <x:v>ISO4762 M3×16</x:v>
      </x:c>
      <x:c r="E44" s="15" t="n">
        <x:v>14</x:v>
      </x:c>
      <x:c r="F44" s="16" t="str">
        <x:v>件</x:v>
      </x:c>
      <x:c r="G44" s="14" t="str">
        <x:v>钢8.8；发黑</x:v>
      </x:c>
      <x:c r="H44" s="14" t="str">
        <x:v>采购</x:v>
      </x:c>
      <x:c r="I44" s="14" t="str">
        <x:v>标准件</x:v>
      </x:c>
      <x:c r="J44" s="14" t="str">
        <x:v>原型装配规格；未验证跳跃强度</x:v>
      </x:c>
      <x:c r="K44" s="14" t="str">
        <x:v>https://www.norelem.es/medias/07160-ST-Datasheet-32102-Socket-head-screws-DIN-EN-ISO-4762-enhanced-steel-en.pdf?context=bWFzdGVyfHJvb3R8Mjc4MTEzfGFwcGxpY2F0aW9uL3BkZnxhREEyTDJobE5TODVORGt5TmpreE9ERXlNemd5THpBM01UWXdYMU5VWDBSaGRHRnphR1ZsZEY4ek1qRXdNbDlUYjJOclpYUmZhR1ZoWkY5elkzSmxkM05mUkVsT1gwVk9YMGxUVDE4ME56WXlYMlZ1YUdGdVkyVmtYM04wWldWc0xTMWxiaTV3WkdZfGM1Y2MxMzYwMDFiYzUzMDY3ZDQ4NTAxMWJhZmE0NTlmZWI2NjQ4OTY3NGI0MGRjZWY2NjU5MTZjMzJmODI1OTI；electrical_build.json</x:v>
      </x:c>
      <x:c r="L44" s="14" t="str">
        <x:v>OA到膝转子；夹持12、啮合4 mm，不可用M3×8代替。</x:v>
      </x:c>
      <x:c r="M44" s="14" t="str">
        <x:v>ISO4762|M3x16|8.8|steel|black</x:v>
      </x:c>
    </x:row>
    <x:row r="45" ht="40" customHeight="1">
      <x:c r="A45" s="14" t="str">
        <x:v>LH03</x:v>
      </x:c>
      <x:c r="B45" s="14" t="str">
        <x:v>M01、M02</x:v>
      </x:c>
      <x:c r="C45" s="14" t="str">
        <x:v>低头小头螺钉</x:v>
      </x:c>
      <x:c r="D45" s="14" t="str">
        <x:v>NBK SLH-M3-6-SD；头Ø4.5×2，内六角2</x:v>
      </x:c>
      <x:c r="E45" s="15" t="n">
        <x:v>20</x:v>
      </x:c>
      <x:c r="F45" s="16" t="str">
        <x:v>件</x:v>
      </x:c>
      <x:c r="G45" s="14" t="str">
        <x:v>SWCH45K；8.8；发黑</x:v>
      </x:c>
      <x:c r="H45" s="14" t="str">
        <x:v>采购</x:v>
      </x:c>
      <x:c r="I45" s="14" t="str">
        <x:v>厂家目录件</x:v>
      </x:c>
      <x:c r="J45" s="14" t="str">
        <x:v>原型装配规格；未验证跳跃强度</x:v>
      </x:c>
      <x:c r="K45" s="14" t="str">
        <x:v>https://www.nbk1560.com/images/en-US/product/lowsmallheadscrew/SLH-SD/SLH-SD_1.pdf</x:v>
      </x:c>
      <x:c r="L45" s="14" t="str">
        <x:v>膝后定子4/侧及OB前定子6/侧；保留小头以避让紧凑孔壁，非普通ISO4762。</x:v>
      </x:c>
      <x:c r="M45" s="14" t="str">
        <x:v>NBK|SLH-M3-6-SD|8.8|black_oxide</x:v>
      </x:c>
    </x:row>
    <x:row r="46" ht="40" customHeight="1">
      <x:c r="A46" s="14" t="str">
        <x:v>LH04</x:v>
      </x:c>
      <x:c r="B46" s="14" t="str">
        <x:v>M01、M02</x:v>
      </x:c>
      <x:c r="C46" s="14" t="str">
        <x:v>低头小头螺钉</x:v>
      </x:c>
      <x:c r="D46" s="14" t="str">
        <x:v>NBK SLH-M3-8-SD；头Ø4.5×2，内六角2</x:v>
      </x:c>
      <x:c r="E46" s="15" t="n">
        <x:v>8</x:v>
      </x:c>
      <x:c r="F46" s="16" t="str">
        <x:v>件</x:v>
      </x:c>
      <x:c r="G46" s="14" t="str">
        <x:v>SWCH45K；8.8；发黑</x:v>
      </x:c>
      <x:c r="H46" s="14" t="str">
        <x:v>采购</x:v>
      </x:c>
      <x:c r="I46" s="14" t="str">
        <x:v>厂家目录件</x:v>
      </x:c>
      <x:c r="J46" s="14" t="str">
        <x:v>原型装配规格；未验证跳跃强度</x:v>
      </x:c>
      <x:c r="K46" s="14" t="str">
        <x:v>https://www.nbk1560.com/images/en-US/product/lowsmallheadscrew/SLH-SD/SLH-SD_1.pdf</x:v>
      </x:c>
      <x:c r="L46" s="14" t="str">
        <x:v>两法兰侧向锁紧。厂家1.4 N·m是螺钉上限，不是该铝接头装配扭矩。</x:v>
      </x:c>
      <x:c r="M46" s="14" t="str">
        <x:v>NBK|SLH-M3-8-SD|8.8|black_oxide</x:v>
      </x:c>
    </x:row>
    <x:row r="47" ht="40" customHeight="1">
      <x:c r="A47" s="14" t="str">
        <x:v>LH05</x:v>
      </x:c>
      <x:c r="B47" s="14" t="str">
        <x:v>M01、M02</x:v>
      </x:c>
      <x:c r="C47" s="14" t="str">
        <x:v>超薄头内六角花形螺钉</x:v>
      </x:c>
      <x:c r="D47" s="14" t="str">
        <x:v>NBK SETS-M2-4；头Ø4×0.5，TX4</x:v>
      </x:c>
      <x:c r="E47" s="15" t="n">
        <x:v>30</x:v>
      </x:c>
      <x:c r="F47" s="16" t="str">
        <x:v>件</x:v>
      </x:c>
      <x:c r="G47" s="14" t="str">
        <x:v>SUSXM7；A2；原厂本色</x:v>
      </x:c>
      <x:c r="H47" s="14" t="str">
        <x:v>采购</x:v>
      </x:c>
      <x:c r="I47" s="14" t="str">
        <x:v>厂家目录件</x:v>
      </x:c>
      <x:c r="J47" s="14" t="str">
        <x:v>原型装配规格；未验证跳跃强度</x:v>
      </x:c>
      <x:c r="K47" s="14" t="str">
        <x:v>https://www.nbk1560.com/en-US/products/specialscrew/nedzicom/spacesaving/SETS/</x:v>
      </x:c>
      <x:c r="L47" s="14" t="str">
        <x:v>轴承压盖18枚+轴销两端防脱12枚。原厂最大0.15 N·m不可直接当成铝压盖或薄挡片的最终扭矩。</x:v>
      </x:c>
      <x:c r="M47" s="14" t="str">
        <x:v>NBK|SETS-M2-4|SUSXM7_A2|plain</x:v>
      </x:c>
    </x:row>
    <x:row r="48" ht="70" customHeight="1">
      <x:c r="A48" s="14" t="str">
        <x:v>LH06</x:v>
      </x:c>
      <x:c r="B48" s="14" t="str">
        <x:v>M01、M02</x:v>
      </x:c>
      <x:c r="C48" s="14" t="str">
        <x:v>沉头内六角螺钉</x:v>
      </x:c>
      <x:c r="D48" s="14" t="str">
        <x:v>DIN7991 M3×10；头≤Ø6×1.7，90°，内六角2</x:v>
      </x:c>
      <x:c r="E48" s="15" t="n">
        <x:v>8</x:v>
      </x:c>
      <x:c r="F48" s="16" t="str">
        <x:v>件</x:v>
      </x:c>
      <x:c r="G48" s="14" t="str">
        <x:v>钢010.9；发黑</x:v>
      </x:c>
      <x:c r="H48" s="14" t="str">
        <x:v>采购</x:v>
      </x:c>
      <x:c r="I48" s="14" t="str">
        <x:v>标准件</x:v>
      </x:c>
      <x:c r="J48" s="14" t="str">
        <x:v>原型装配规格；未验证跳跃强度</x:v>
      </x:c>
      <x:c r="K48" s="14" t="str">
        <x:v>https://www.bossard.com/us-en/eshop/screws-and-bolts-with-internal-drive/hex-socket-flat-countersunk-head-screws-fully-threaded/p/20/</x:v>
      </x:c>
      <x:c r="L48" s="14" t="str">
        <x:v>OB内框到外壳；DIN已撤销但仍有目录件。不得不检查就换ISO10642大头。</x:v>
      </x:c>
      <x:c r="M48" s="14" t="str">
        <x:v>DIN7991|M3x10|010.9|steel|black|headD6_k1.7</x:v>
      </x:c>
    </x:row>
    <x:row r="49" ht="70" customHeight="1">
      <x:c r="A49" s="14" t="str">
        <x:v>LH07</x:v>
      </x:c>
      <x:c r="B49" s="14" t="str">
        <x:v>M01、M02</x:v>
      </x:c>
      <x:c r="C49" s="14" t="str">
        <x:v>沉头内六角螺钉</x:v>
      </x:c>
      <x:c r="D49" s="14" t="str">
        <x:v>DIN7991 M3×6；头≤Ø6×1.7，90°，内六角2</x:v>
      </x:c>
      <x:c r="E49" s="15" t="n">
        <x:v>12</x:v>
      </x:c>
      <x:c r="F49" s="16" t="str">
        <x:v>件</x:v>
      </x:c>
      <x:c r="G49" s="14" t="str">
        <x:v>钢010.9；发黑</x:v>
      </x:c>
      <x:c r="H49" s="14" t="str">
        <x:v>采购</x:v>
      </x:c>
      <x:c r="I49" s="14" t="str">
        <x:v>标准件</x:v>
      </x:c>
      <x:c r="J49" s="14" t="str">
        <x:v>原型装配规格；未验证跳跃强度</x:v>
      </x:c>
      <x:c r="K49" s="14" t="str">
        <x:v>https://www.bossard.com/us-en/eshop/screws-and-bolts-with-internal-drive/hex-socket-flat-countersunk-head-screws-fully-threaded/p/20/</x:v>
      </x:c>
      <x:c r="L49" s="14" t="str">
        <x:v>髋电机定子到髋座；深5的电机孔中名义啮合3。</x:v>
      </x:c>
      <x:c r="M49" s="14" t="str">
        <x:v>DIN7991|M3x6|010.9|steel|black|headD6_k1.7</x:v>
      </x:c>
    </x:row>
    <x:row r="50" ht="70" customHeight="1">
      <x:c r="A50" s="14" t="str">
        <x:v>LH08</x:v>
      </x:c>
      <x:c r="B50" s="14" t="str">
        <x:v>M01、M02</x:v>
      </x:c>
      <x:c r="C50" s="14" t="str">
        <x:v>沉头内六角螺钉</x:v>
      </x:c>
      <x:c r="D50" s="14" t="str">
        <x:v>DIN7991 M4×12；头≤Ø8×2.3，90°，内六角2.5</x:v>
      </x:c>
      <x:c r="E50" s="15" t="n">
        <x:v>8</x:v>
      </x:c>
      <x:c r="F50" s="16" t="str">
        <x:v>件</x:v>
      </x:c>
      <x:c r="G50" s="14" t="str">
        <x:v>钢010.9；发黑</x:v>
      </x:c>
      <x:c r="H50" s="14" t="str">
        <x:v>采购</x:v>
      </x:c>
      <x:c r="I50" s="14" t="str">
        <x:v>标准件</x:v>
      </x:c>
      <x:c r="J50" s="14" t="str">
        <x:v>原型装配规格；未验证跳跃强度</x:v>
      </x:c>
      <x:c r="K50" s="14" t="str">
        <x:v>https://www.bossard.com/us-en/eshop/screws-and-bolts-with-internal-drive/hex-socket-flat-countersunk-head-screws-fully-threaded/p/20/</x:v>
      </x:c>
      <x:c r="L50" s="14" t="str">
        <x:v>腿模块到机身侧框；每侧4枚，整机总装时使用，机身BOM不要重复。</x:v>
      </x:c>
      <x:c r="M50" s="14" t="str">
        <x:v>DIN7991|M4x12|010.9|steel|black|headD8_k2.3</x:v>
      </x:c>
    </x:row>
    <x:row r="51" ht="40" customHeight="1">
      <x:c r="A51" s="14" t="str">
        <x:v>LH09</x:v>
      </x:c>
      <x:c r="B51" s="14" t="str">
        <x:v>M03</x:v>
      </x:c>
      <x:c r="C51" s="14" t="str">
        <x:v>普通平垫圈</x:v>
      </x:c>
      <x:c r="D51" s="14" t="str">
        <x:v>ISO7089 M4；Ø4.3/Ø9×0.8</x:v>
      </x:c>
      <x:c r="E51" s="15" t="n">
        <x:v>8</x:v>
      </x:c>
      <x:c r="F51" s="16" t="str">
        <x:v>件</x:v>
      </x:c>
      <x:c r="G51" s="14" t="str">
        <x:v>钢200HV；镀锌</x:v>
      </x:c>
      <x:c r="H51" s="14" t="str">
        <x:v>采购</x:v>
      </x:c>
      <x:c r="I51" s="14" t="str">
        <x:v>标准件</x:v>
      </x:c>
      <x:c r="J51" s="14" t="str">
        <x:v>原型装配规格；未验证跳跃强度</x:v>
      </x:c>
      <x:c r="K51" s="14" t="str">
        <x:v>https://www.obo.de/de-de/produkte/unterlegscheibe-9-4-3-0-8-m4-3402045.html</x:v>
      </x:c>
      <x:c r="L51" s="14" t="str">
        <x:v>外形来源为厂家DIN125A表；采购选200HV等级，不能拿未标硬度或软塑料垫圈替换。每个M4接口一片。</x:v>
      </x:c>
      <x:c r="M51" s="14" t="str">
        <x:v>ISO7089|M4|200HV|steel|zinc</x:v>
      </x:c>
    </x:row>
    <x:row r="52" ht="55" customHeight="1">
      <x:c r="A52" s="14" t="str">
        <x:v>LH10</x:v>
      </x:c>
      <x:c r="B52" s="14" t="str">
        <x:v>M03</x:v>
      </x:c>
      <x:c r="C52" s="14" t="str">
        <x:v>六角螺母</x:v>
      </x:c>
      <x:c r="D52" s="14" t="str">
        <x:v>ISO4032 M4；AF7×3.2</x:v>
      </x:c>
      <x:c r="E52" s="15" t="n">
        <x:v>8</x:v>
      </x:c>
      <x:c r="F52" s="16" t="str">
        <x:v>件</x:v>
      </x:c>
      <x:c r="G52" s="14" t="str">
        <x:v>钢8级；镀锌</x:v>
      </x:c>
      <x:c r="H52" s="14" t="str">
        <x:v>采购</x:v>
      </x:c>
      <x:c r="I52" s="14" t="str">
        <x:v>标准件</x:v>
      </x:c>
      <x:c r="J52" s="14" t="str">
        <x:v>原型装配规格；未验证跳跃强度</x:v>
      </x:c>
      <x:c r="K52" s="14" t="str">
        <x:v>https://www.norelem.com/doc/hu/hu/did.294335/Normenuebersicht-der-Verbindungselemente-NLM_HU.pdf</x:v>
      </x:c>
      <x:c r="L52" s="14" t="str">
        <x:v>髋座总装用；与M4沉头螺钉配对，现场防松工艺确认后做扭矩标记。</x:v>
      </x:c>
      <x:c r="M52" s="14" t="str">
        <x:v>ISO4032|M4|8|steel|zinc</x:v>
      </x:c>
    </x:row>
    <x:row r="53" ht="55" customHeight="1">
      <x:c r="A53" s="14" t="str">
        <x:v>LH11</x:v>
      </x:c>
      <x:c r="B53" s="14" t="str">
        <x:v>M01、M02</x:v>
      </x:c>
      <x:c r="C53" s="14" t="str">
        <x:v>定位圆柱销</x:v>
      </x:c>
      <x:c r="D53" s="14" t="str">
        <x:v>DIN6325 Ø4m6×10（Norelem03320-04X10）</x:v>
      </x:c>
      <x:c r="E53" s="15" t="n">
        <x:v>6</x:v>
      </x:c>
      <x:c r="F53" s="16" t="str">
        <x:v>件</x:v>
      </x:c>
      <x:c r="G53" s="14" t="str">
        <x:v>工具钢；淬硬磨削60±2HRC；本色</x:v>
      </x:c>
      <x:c r="H53" s="14" t="str">
        <x:v>采购</x:v>
      </x:c>
      <x:c r="I53" s="14" t="str">
        <x:v>标准件</x:v>
      </x:c>
      <x:c r="J53" s="14" t="str">
        <x:v>原型装配规格；未验证跳跃强度</x:v>
      </x:c>
      <x:c r="K53" s="14" t="str">
        <x:v>https://www.norelem.mx/doc/mx/es/did.97191/03320_Datasheet_2785_Pasadores_cil_ndricos_DIN_6325--es.pdf</x:v>
      </x:c>
      <x:c r="L53" s="14" t="str">
        <x:v>3/髋法兰；取代旧定制9mm。只控制装入法兰7.00±0.05；外露名义3、随实际长度变化（详公差文档），三销按实物检具确认，禁止螺钉强拉。</x:v>
      </x:c>
      <x:c r="M53" s="14" t="str">
        <x:v>DIN6325|4m6x10|hardened_60HRC|ground_plain</x:v>
      </x:c>
    </x:row>
    <x:row r="54" ht="85" customHeight="1">
      <x:c r="A54" s="14" t="str">
        <x:v>LH12</x:v>
      </x:c>
      <x:c r="B54" s="14" t="str">
        <x:v>M01、M02</x:v>
      </x:c>
      <x:c r="C54" s="14" t="str">
        <x:v>深沟球轴承</x:v>
      </x:c>
      <x:c r="D54" s="14" t="str">
        <x:v>NSK626ZZ1；6×19×6；金属防尘盖</x:v>
      </x:c>
      <x:c r="E54" s="15" t="n">
        <x:v>6</x:v>
      </x:c>
      <x:c r="F54" s="16" t="str">
        <x:v>件</x:v>
      </x:c>
      <x:c r="G54" s="14" t="str">
        <x:v>原厂轴承钢</x:v>
      </x:c>
      <x:c r="H54" s="14" t="str">
        <x:v>采购</x:v>
      </x:c>
      <x:c r="I54" s="14" t="str">
        <x:v>厂家目录件</x:v>
      </x:c>
      <x:c r="J54" s="14" t="str">
        <x:v>原型装配规格；未验证跳跃强度</x:v>
      </x:c>
      <x:c r="K54" s="14" t="str">
        <x:v>https://www.nsk.com/jp-ja/engineering/products/bearings/ball-bearings/deep-groove-ball-bearings/extra-small-ball-bearings-and-miniature-ball-bearings-metric-series/626zz1-esm-md.html</x:v>
      </x:c>
      <x:c r="L54" s="14" t="str">
        <x:v>A、B、C各1/腿，普通游隙版本；不得仅按626尺寸采购C3/MC3等异游隙版本。额定载荷不等于整机跳跃能力。</x:v>
      </x:c>
      <x:c r="M54" s="14" t="str">
        <x:v>NSK|626ZZ1|standard_clearance|ZZ</x:v>
      </x:c>
    </x:row>
    <x:row r="55" ht="85" customHeight="1">
      <x:c r="A55" s="14" t="str">
        <x:v>BH01</x:v>
      </x:c>
      <x:c r="B55" s="14" t="str">
        <x:v>M03</x:v>
      </x:c>
      <x:c r="C55" s="14" t="str">
        <x:v>沉头内六角螺钉</x:v>
      </x:c>
      <x:c r="D55" s="14" t="str">
        <x:v>DIN7991 M3x0.5 x 8</x:v>
      </x:c>
      <x:c r="E55" s="15" t="n">
        <x:v>16</x:v>
      </x:c>
      <x:c r="F55" s="16" t="str">
        <x:v>件</x:v>
      </x:c>
      <x:c r="G55" s="14" t="str">
        <x:v>钢010.9；发黑</x:v>
      </x:c>
      <x:c r="H55" s="14" t="str">
        <x:v>采购</x:v>
      </x:c>
      <x:c r="I55" s="14" t="str">
        <x:v>标准件</x:v>
      </x:c>
      <x:c r="J55" s="14" t="str">
        <x:v>按列明头径/强度等级采购</x:v>
      </x:c>
      <x:c r="K55" s="14" t="str">
        <x:v>baseline_v81/BODY_ASSEMBLY.md；baseline_v81/body_hardware_bom.json</x:v>
      </x:c>
      <x:c r="L55" s="14" t="str">
        <x:v>Select actual head diameter 6 mm / height 1.7 mm / 90-degree head. Do NOT substitute unrestricted ISO10642; its M3 head can reach 6.72 mm. Body clearance countersink D6.4. Modeled free grip and head, engaged threads omitted.</x:v>
      </x:c>
      <x:c r="M55" s="14" t="str">
        <x:v>DIN7991|M3x8|010.9|steel|black|headD6_k1.7</x:v>
      </x:c>
    </x:row>
    <x:row r="56" ht="55" customHeight="1">
      <x:c r="A56" s="14" t="str">
        <x:v>BH03</x:v>
      </x:c>
      <x:c r="B56" s="14" t="str">
        <x:v>M04、M05、M06</x:v>
      </x:c>
      <x:c r="C56" s="14" t="str">
        <x:v>内六角圆柱头螺钉</x:v>
      </x:c>
      <x:c r="D56" s="14" t="str">
        <x:v>ISO4762 M3x0.5 x 10</x:v>
      </x:c>
      <x:c r="E56" s="15" t="n">
        <x:v>10</x:v>
      </x:c>
      <x:c r="F56" s="16" t="str">
        <x:v>件</x:v>
      </x:c>
      <x:c r="G56" s="14" t="str">
        <x:v>钢8.8；发黑</x:v>
      </x:c>
      <x:c r="H56" s="14" t="str">
        <x:v>采购</x:v>
      </x:c>
      <x:c r="I56" s="14" t="str">
        <x:v>标准件</x:v>
      </x:c>
      <x:c r="J56" s="14" t="str">
        <x:v>按列明头径/强度等级采购</x:v>
      </x:c>
      <x:c r="K56" s="14" t="str">
        <x:v>baseline_v81/BODY_ASSEMBLY.md；baseline_v81/body_hardware_bom.json；electrical_build.json</x:v>
      </x:c>
      <x:c r="L56" s="14" t="str"/>
      <x:c r="M56" s="14" t="str">
        <x:v>ISO4762|M3x10|8.8|steel|black</x:v>
      </x:c>
    </x:row>
    <x:row r="57" ht="55" customHeight="1">
      <x:c r="A57" s="14" t="str">
        <x:v>BH04</x:v>
      </x:c>
      <x:c r="B57" s="14" t="str">
        <x:v>M05、M06、M07</x:v>
      </x:c>
      <x:c r="C57" s="14" t="str">
        <x:v>内六角圆柱头螺钉</x:v>
      </x:c>
      <x:c r="D57" s="14" t="str">
        <x:v>ISO4762 M3x0.5 x 12</x:v>
      </x:c>
      <x:c r="E57" s="15" t="n">
        <x:v>16</x:v>
      </x:c>
      <x:c r="F57" s="16" t="str">
        <x:v>件</x:v>
      </x:c>
      <x:c r="G57" s="14" t="str">
        <x:v>钢8.8；发黑</x:v>
      </x:c>
      <x:c r="H57" s="14" t="str">
        <x:v>采购</x:v>
      </x:c>
      <x:c r="I57" s="14" t="str">
        <x:v>标准件</x:v>
      </x:c>
      <x:c r="J57" s="14" t="str">
        <x:v>按列明头径/强度等级采购</x:v>
      </x:c>
      <x:c r="K57" s="14" t="str">
        <x:v>baseline_v81/BODY_ASSEMBLY.md；baseline_v81/body_hardware_bom.json；electrical_build.json</x:v>
      </x:c>
      <x:c r="L57" s="14" t="str"/>
      <x:c r="M57" s="14" t="str">
        <x:v>ISO4762|M3x12|8.8|steel|black</x:v>
      </x:c>
    </x:row>
    <x:row r="58" ht="40" customHeight="1">
      <x:c r="A58" s="14" t="str">
        <x:v>BH05</x:v>
      </x:c>
      <x:c r="B58" s="14" t="str">
        <x:v>M05、M06</x:v>
      </x:c>
      <x:c r="C58" s="14" t="str">
        <x:v>内六角圆柱头螺钉</x:v>
      </x:c>
      <x:c r="D58" s="14" t="str">
        <x:v>ISO4762 M3x0.5 x 20</x:v>
      </x:c>
      <x:c r="E58" s="15" t="n">
        <x:v>8</x:v>
      </x:c>
      <x:c r="F58" s="16" t="str">
        <x:v>件</x:v>
      </x:c>
      <x:c r="G58" s="14" t="str">
        <x:v>钢8.8；发黑</x:v>
      </x:c>
      <x:c r="H58" s="14" t="str">
        <x:v>采购</x:v>
      </x:c>
      <x:c r="I58" s="14" t="str">
        <x:v>标准件</x:v>
      </x:c>
      <x:c r="J58" s="14" t="str">
        <x:v>按列明头径/强度等级采购</x:v>
      </x:c>
      <x:c r="K58" s="14" t="str">
        <x:v>baseline_v81/BODY_ASSEMBLY.md；baseline_v81/body_hardware_bom.json</x:v>
      </x:c>
      <x:c r="L58" s="14" t="str"/>
      <x:c r="M58" s="14" t="str">
        <x:v>ISO4762|M3x20|8.8|steel|black</x:v>
      </x:c>
    </x:row>
    <x:row r="59" ht="55" customHeight="1">
      <x:c r="A59" s="14" t="str">
        <x:v>BH06</x:v>
      </x:c>
      <x:c r="B59" s="14" t="str">
        <x:v>M04</x:v>
      </x:c>
      <x:c r="C59" s="14" t="str">
        <x:v>内六角圆柱头螺钉</x:v>
      </x:c>
      <x:c r="D59" s="14" t="str">
        <x:v>ISO4762 M2.5x0.45 x 16</x:v>
      </x:c>
      <x:c r="E59" s="15" t="n">
        <x:v>2</x:v>
      </x:c>
      <x:c r="F59" s="16" t="str">
        <x:v>件</x:v>
      </x:c>
      <x:c r="G59" s="14" t="str">
        <x:v>钢8.8；发黑</x:v>
      </x:c>
      <x:c r="H59" s="14" t="str">
        <x:v>采购</x:v>
      </x:c>
      <x:c r="I59" s="14" t="str">
        <x:v>标准件</x:v>
      </x:c>
      <x:c r="J59" s="14" t="str">
        <x:v>按列明头径/强度等级采购</x:v>
      </x:c>
      <x:c r="K59" s="14" t="str">
        <x:v>baseline_v81/BODY_ASSEMBLY.md；baseline_v81/body_hardware_bom.json</x:v>
      </x:c>
      <x:c r="L59" s="14" t="str">
        <x:v>Select smooth head diameter &lt;=4.5 mm, height&lt;=2.5 mm, AF2. Manufacturer relief radius2.3 mm; unrestricted knurled/oversize head is not accepted.</x:v>
      </x:c>
      <x:c r="M59" s="14" t="str">
        <x:v>ISO4762|M2.5x16|8.8|steel|black|smooth_headD4.5</x:v>
      </x:c>
    </x:row>
    <x:row r="60" ht="70" customHeight="1">
      <x:c r="A60" s="14" t="str">
        <x:v>BH07</x:v>
      </x:c>
      <x:c r="B60" s="14" t="str">
        <x:v>M04、M05、M06、M07</x:v>
      </x:c>
      <x:c r="C60" s="14" t="str">
        <x:v>六角螺母</x:v>
      </x:c>
      <x:c r="D60" s="14" t="str">
        <x:v>ISO4032 M3x0.5; AF5.5 x t2.4</x:v>
      </x:c>
      <x:c r="E60" s="15" t="n">
        <x:v>26</x:v>
      </x:c>
      <x:c r="F60" s="16" t="str">
        <x:v>件</x:v>
      </x:c>
      <x:c r="G60" s="14" t="str">
        <x:v>钢8；镀锌</x:v>
      </x:c>
      <x:c r="H60" s="14" t="str">
        <x:v>采购</x:v>
      </x:c>
      <x:c r="I60" s="14" t="str">
        <x:v>标准件</x:v>
      </x:c>
      <x:c r="J60" s="14" t="str">
        <x:v>按列明头径/强度等级采购</x:v>
      </x:c>
      <x:c r="K60" s="14" t="str">
        <x:v>baseline_v81/BODY_ASSEMBLY.md；baseline_v81/body_hardware_bom.json；electrical_build.json</x:v>
      </x:c>
      <x:c r="L60" s="14" t="str">
        <x:v>Nominal CAD matches AF5.5/max thickness2.4; supplier dimensional range AF5.32..5.5, height2.15..2.4. Printed nut pockets AF5.8 are process starting dimensions, not guaranteed press fits.</x:v>
      </x:c>
      <x:c r="M60" s="14" t="str">
        <x:v>ISO4032|M3|8|steel|zinc|AF5.5_t2.4</x:v>
      </x:c>
    </x:row>
    <x:row r="61" ht="55" customHeight="1">
      <x:c r="A61" s="14" t="str">
        <x:v>BH08</x:v>
      </x:c>
      <x:c r="B61" s="14" t="str">
        <x:v>M04、M07</x:v>
      </x:c>
      <x:c r="C61" s="14" t="str">
        <x:v>六角螺母</x:v>
      </x:c>
      <x:c r="D61" s="14" t="str">
        <x:v>ISO4032 M2.5x0.45; AF5 x t2</x:v>
      </x:c>
      <x:c r="E61" s="15" t="n">
        <x:v>6</x:v>
      </x:c>
      <x:c r="F61" s="16" t="str">
        <x:v>件</x:v>
      </x:c>
      <x:c r="G61" s="14" t="str">
        <x:v>钢8；镀锌</x:v>
      </x:c>
      <x:c r="H61" s="14" t="str">
        <x:v>采购</x:v>
      </x:c>
      <x:c r="I61" s="14" t="str">
        <x:v>标准件</x:v>
      </x:c>
      <x:c r="J61" s="14" t="str">
        <x:v>按列明头径/强度等级采购</x:v>
      </x:c>
      <x:c r="K61" s="14" t="str">
        <x:v>baseline_v81/BODY_ASSEMBLY.md；baseline_v81/body_hardware_bom.json；electrical_build.json</x:v>
      </x:c>
      <x:c r="L61" s="14" t="str">
        <x:v>Use regular-height metal nut; maximum height2 mm and AF5. Do not replace with tall nyloc nut without clearance check.</x:v>
      </x:c>
      <x:c r="M61" s="14" t="str">
        <x:v>ISO4032|M2.5|8|steel|zinc|AF5_t2</x:v>
      </x:c>
    </x:row>
    <x:row r="62" ht="55" customHeight="1">
      <x:c r="A62" s="14" t="str">
        <x:v>BH09</x:v>
      </x:c>
      <x:c r="B62" s="14" t="str">
        <x:v>M04</x:v>
      </x:c>
      <x:c r="C62" s="14" t="str">
        <x:v>普通平垫圈</x:v>
      </x:c>
      <x:c r="D62" s="14" t="str">
        <x:v>ISO7089 M3; ID3.2 x OD7 x t0.5</x:v>
      </x:c>
      <x:c r="E62" s="15" t="n">
        <x:v>4</x:v>
      </x:c>
      <x:c r="F62" s="16" t="str">
        <x:v>件</x:v>
      </x:c>
      <x:c r="G62" s="14" t="str">
        <x:v>钢200 HV；镀锌</x:v>
      </x:c>
      <x:c r="H62" s="14" t="str">
        <x:v>采购</x:v>
      </x:c>
      <x:c r="I62" s="14" t="str">
        <x:v>标准件</x:v>
      </x:c>
      <x:c r="J62" s="14" t="str">
        <x:v>按列明头径/强度等级采购</x:v>
      </x:c>
      <x:c r="K62" s="14" t="str">
        <x:v>baseline_v81/BODY_ASSEMBLY.md；baseline_v81/body_hardware_bom.json</x:v>
      </x:c>
      <x:c r="L62" s="14" t="str">
        <x:v>These four spreading washers are intentional; not improvised grip-length correction. Incoming ID3.2..3.38/OD6.64..7/t0.45..0.55 mm.</x:v>
      </x:c>
      <x:c r="M62" s="14" t="str">
        <x:v>ISO7089|M3_3.2x7x0.5|200HV|steel|zinc</x:v>
      </x:c>
    </x:row>
    <x:row r="63" ht="34" customHeight="1">
      <x:c r="A63" s="14" t="str">
        <x:v>E01</x:v>
      </x:c>
      <x:c r="B63" s="14" t="str">
        <x:v>M01、M02</x:v>
      </x:c>
      <x:c r="C63" s="14" t="str">
        <x:v>J4310关节电机</x:v>
      </x:c>
      <x:c r="D63" s="14" t="str">
        <x:v>DM-J4310-2EC，24V，V1.1驱动</x:v>
      </x:c>
      <x:c r="E63" s="15" t="n">
        <x:v>4</x:v>
      </x:c>
      <x:c r="F63" s="16" t="str">
        <x:v>件</x:v>
      </x:c>
      <x:c r="G63" s="14" t="str">
        <x:v>原厂总成</x:v>
      </x:c>
      <x:c r="H63" s="14" t="str">
        <x:v>整件采购</x:v>
      </x:c>
      <x:c r="I63" s="14" t="str">
        <x:v>外购设备</x:v>
      </x:c>
      <x:c r="J63" s="14" t="str">
        <x:v>按指定版本采购并测量</x:v>
      </x:c>
      <x:c r="K63" s="14" t="str">
        <x:v>source/hardware/j4310_drawing.txt</x:v>
      </x:c>
      <x:c r="L63" s="14" t="str">
        <x:v>电机内部零件与紧固件不拆计。</x:v>
      </x:c>
      <x:c r="M63" s="14" t="str"/>
    </x:row>
    <x:row r="64" ht="34" customHeight="1">
      <x:c r="A64" s="14" t="str">
        <x:v>E02</x:v>
      </x:c>
      <x:c r="B64" s="14" t="str">
        <x:v>M01、M02</x:v>
      </x:c>
      <x:c r="C64" s="14" t="str">
        <x:v>轮毂电机</x:v>
      </x:c>
      <x:c r="D64" s="14" t="str">
        <x:v>DM-H6215</x:v>
      </x:c>
      <x:c r="E64" s="15" t="n">
        <x:v>2</x:v>
      </x:c>
      <x:c r="F64" s="16" t="str">
        <x:v>件</x:v>
      </x:c>
      <x:c r="G64" s="14" t="str">
        <x:v>原厂总成</x:v>
      </x:c>
      <x:c r="H64" s="14" t="str">
        <x:v>整件采购</x:v>
      </x:c>
      <x:c r="I64" s="14" t="str">
        <x:v>外购设备</x:v>
      </x:c>
      <x:c r="J64" s="14" t="str">
        <x:v>按指定版本采购并测量</x:v>
      </x:c>
      <x:c r="K64" s="14" t="str">
        <x:v>source/hardware/h6215_drawing.txt</x:v>
      </x:c>
      <x:c r="L64" s="14" t="str">
        <x:v>轮辋紧固螺钉已计入LH01。</x:v>
      </x:c>
      <x:c r="M64" s="14" t="str"/>
    </x:row>
    <x:row r="65" ht="34" customHeight="1">
      <x:c r="A65" s="14" t="str">
        <x:v>E03</x:v>
      </x:c>
      <x:c r="B65" s="14" t="str">
        <x:v>M04</x:v>
      </x:c>
      <x:c r="C65" s="14" t="str">
        <x:v>开发套件</x:v>
      </x:c>
      <x:c r="D65" s="14" t="str">
        <x:v>Jetson Orin Nano官方开发套件</x:v>
      </x:c>
      <x:c r="E65" s="15" t="n">
        <x:v>1</x:v>
      </x:c>
      <x:c r="F65" s="16" t="str">
        <x:v>件</x:v>
      </x:c>
      <x:c r="G65" s="14" t="str">
        <x:v>原厂总成</x:v>
      </x:c>
      <x:c r="H65" s="14" t="str">
        <x:v>整件采购</x:v>
      </x:c>
      <x:c r="I65" s="14" t="str">
        <x:v>外购设备</x:v>
      </x:c>
      <x:c r="J65" s="14" t="str">
        <x:v>按指定版本采购并测量</x:v>
      </x:c>
      <x:c r="K65" s="14" t="str">
        <x:v>baseline_v81/payload_interfaces.json</x:v>
      </x:c>
      <x:c r="L65" s="14" t="str">
        <x:v>含原厂底座/散热器；按实际版本核对接口。</x:v>
      </x:c>
      <x:c r="M65" s="14" t="str"/>
    </x:row>
    <x:row r="66" ht="40" customHeight="1">
      <x:c r="A66" s="14" t="str">
        <x:v>E04</x:v>
      </x:c>
      <x:c r="B66" s="14" t="str">
        <x:v>M05</x:v>
      </x:c>
      <x:c r="C66" s="14" t="str">
        <x:v>深度相机</x:v>
      </x:c>
      <x:c r="D66" s="14" t="str">
        <x:v>RealSense D435</x:v>
      </x:c>
      <x:c r="E66" s="15" t="n">
        <x:v>1</x:v>
      </x:c>
      <x:c r="F66" s="16" t="str">
        <x:v>件</x:v>
      </x:c>
      <x:c r="G66" s="14" t="str">
        <x:v>原厂总成</x:v>
      </x:c>
      <x:c r="H66" s="14" t="str">
        <x:v>整件采购</x:v>
      </x:c>
      <x:c r="I66" s="14" t="str">
        <x:v>外购设备</x:v>
      </x:c>
      <x:c r="J66" s="14" t="str">
        <x:v>按指定版本采购并测量</x:v>
      </x:c>
      <x:c r="K66" s="14" t="str">
        <x:v>baseline_v81/payload_interfaces.json</x:v>
      </x:c>
      <x:c r="L66" s="14" t="str">
        <x:v>一个设备，两种CAD表达；后座深度按实物25.05/26.05二选一。</x:v>
      </x:c>
      <x:c r="M66" s="14" t="str"/>
    </x:row>
    <x:row r="67" ht="34" customHeight="1">
      <x:c r="A67" s="14" t="str">
        <x:v>E05</x:v>
      </x:c>
      <x:c r="B67" s="14" t="str">
        <x:v>M04</x:v>
      </x:c>
      <x:c r="C67" s="14" t="str">
        <x:v>惯性测量单元</x:v>
      </x:c>
      <x:c r="D67" s="14" t="str">
        <x:v>超核HI13R2 USB版</x:v>
      </x:c>
      <x:c r="E67" s="15" t="n">
        <x:v>1</x:v>
      </x:c>
      <x:c r="F67" s="16" t="str">
        <x:v>件</x:v>
      </x:c>
      <x:c r="G67" s="14" t="str">
        <x:v>原厂总成</x:v>
      </x:c>
      <x:c r="H67" s="14" t="str">
        <x:v>整件采购</x:v>
      </x:c>
      <x:c r="I67" s="14" t="str">
        <x:v>外购设备</x:v>
      </x:c>
      <x:c r="J67" s="14" t="str">
        <x:v>按指定版本采购并测量</x:v>
      </x:c>
      <x:c r="K67" s="14" t="str">
        <x:v>https://www.hipnuc.com/hi13.html</x:v>
      </x:c>
      <x:c r="L67" s="14" t="str">
        <x:v>俯视名义原点在机体中心；安装后标定轴向。</x:v>
      </x:c>
      <x:c r="M67" s="14" t="str"/>
    </x:row>
    <x:row r="68" ht="34" customHeight="1">
      <x:c r="A68" s="14" t="str">
        <x:v>E06</x:v>
      </x:c>
      <x:c r="B68" s="14" t="str">
        <x:v>M05</x:v>
      </x:c>
      <x:c r="C68" s="14" t="str">
        <x:v>5寸显示器</x:v>
      </x:c>
      <x:c r="D68" s="14" t="str">
        <x:v>GK-HD V3，122×78×14.5 mm</x:v>
      </x:c>
      <x:c r="E68" s="15" t="n">
        <x:v>1</x:v>
      </x:c>
      <x:c r="F68" s="16" t="str">
        <x:v>件</x:v>
      </x:c>
      <x:c r="G68" s="14" t="str">
        <x:v>原厂总成</x:v>
      </x:c>
      <x:c r="H68" s="14" t="str">
        <x:v>整件采购</x:v>
      </x:c>
      <x:c r="I68" s="14" t="str">
        <x:v>外购设备</x:v>
      </x:c>
      <x:c r="J68" s="14" t="str">
        <x:v>按指定版本采购并测量</x:v>
      </x:c>
      <x:c r="K68" s="14" t="str">
        <x:v>source/display/显示器规格书.pdf，第2页</x:v>
      </x:c>
      <x:c r="L68" s="14" t="str">
        <x:v>采用外壳托夹；供应商未给5寸安装孔。200g为质量估计。</x:v>
      </x:c>
      <x:c r="M68" s="14" t="str"/>
    </x:row>
    <x:row r="69" ht="55" customHeight="1">
      <x:c r="A69" s="14" t="str">
        <x:v>E07</x:v>
      </x:c>
      <x:c r="B69" s="14" t="str">
        <x:v>M04</x:v>
      </x:c>
      <x:c r="C69" s="14" t="str">
        <x:v>E626S电池包及磁吸底座</x:v>
      </x:c>
      <x:c r="D69" s="14" t="str">
        <x:v>用户确认24V等级E626S；本体85.6×61.6×42 mm，含磁底44.5 mm</x:v>
      </x:c>
      <x:c r="E69" s="15" t="n">
        <x:v>1</x:v>
      </x:c>
      <x:c r="F69" s="16" t="str">
        <x:v>件</x:v>
      </x:c>
      <x:c r="G69" s="14" t="str">
        <x:v>原厂封装电池/磁吸底座</x:v>
      </x:c>
      <x:c r="H69" s="14" t="str">
        <x:v>整件采购</x:v>
      </x:c>
      <x:c r="I69" s="14" t="str">
        <x:v>外购设备</x:v>
      </x:c>
      <x:c r="J69" s="14" t="str">
        <x:v>型号用户已确认；含底质量/插头待测</x:v>
      </x:c>
      <x:c r="K69" s="14" t="str">
        <x:v>source/battery/WHEELTEC_battery_user_drawing.png；source/battery/WHEELTEC_24V_manual.pdf</x:v>
      </x:c>
      <x:c r="L69" s="14" t="str">
        <x:v>用户确认选E626S；官方337g/22.2V/2550mAh/6A持续/13A瞬时。337g是否含底座未明，安装仍按400g预算。DC5.5-2.1充放共口，插头及脉冲时长需复核。</x:v>
      </x:c>
      <x:c r="M69" s="14" t="str"/>
    </x:row>
    <x:row r="70" ht="40" customHeight="1">
      <x:c r="A70" s="14" t="str">
        <x:v>E08</x:v>
      </x:c>
      <x:c r="B70" s="14" t="str">
        <x:v>M01、M02</x:v>
      </x:c>
      <x:c r="C70" s="14" t="str">
        <x:v>弹性轮胎</x:v>
      </x:c>
      <x:c r="D70" s="14" t="str">
        <x:v>外径100/内径86/宽32 mm</x:v>
      </x:c>
      <x:c r="E70" s="15" t="n">
        <x:v>2</x:v>
      </x:c>
      <x:c r="F70" s="16" t="str">
        <x:v>件</x:v>
      </x:c>
      <x:c r="G70" s="14" t="str">
        <x:v>橡胶/弹性体待选</x:v>
      </x:c>
      <x:c r="H70" s="14" t="str">
        <x:v>整件采购</x:v>
      </x:c>
      <x:c r="I70" s="14" t="str">
        <x:v>外购设备</x:v>
      </x:c>
      <x:c r="J70" s="14" t="str">
        <x:v>规格待选定</x:v>
      </x:c>
      <x:c r="K70" s="14" t="str">
        <x:v>design_parameters.json</x:v>
      </x:c>
      <x:c r="L70" s="14" t="str">
        <x:v>按轮辋匹配；硬度、摩擦、固定方式和跳跃耐久需样件确认。</x:v>
      </x:c>
      <x:c r="M70" s="14" t="str"/>
    </x:row>
    <x:row r="71" ht="40" customHeight="1">
      <x:c r="A71" s="14" t="str">
        <x:v>C01</x:v>
      </x:c>
      <x:c r="B71" s="14" t="str">
        <x:v>M05</x:v>
      </x:c>
      <x:c r="C71" s="14" t="str">
        <x:v>屏幕后软垫</x:v>
      </x:c>
      <x:c r="D71" s="14" t="str">
        <x:v>4×8×0.5 mm，4块</x:v>
      </x:c>
      <x:c r="E71" s="15" t="n">
        <x:v>4</x:v>
      </x:c>
      <x:c r="F71" s="16" t="str">
        <x:v>件</x:v>
      </x:c>
      <x:c r="G71" s="14" t="str">
        <x:v>薄弹性自粘片</x:v>
      </x:c>
      <x:c r="H71" s="14" t="str">
        <x:v>采购/裁切</x:v>
      </x:c>
      <x:c r="I71" s="14" t="str">
        <x:v>外购耗材</x:v>
      </x:c>
      <x:c r="J71" s="14" t="str">
        <x:v>装机实配</x:v>
      </x:c>
      <x:c r="K71" s="14" t="str">
        <x:v>baseline_v81/body_hardware_bom.json</x:v>
      </x:c>
      <x:c r="L71" s="14" t="str">
        <x:v>0.5为最终压缩厚度目标；仅支撑金属外框，不挤压屏幕玻璃。</x:v>
      </x:c>
      <x:c r="M71" s="14" t="str"/>
    </x:row>
    <x:row r="72" ht="40" customHeight="1">
      <x:c r="A72" s="14" t="str">
        <x:v>C02</x:v>
      </x:c>
      <x:c r="B72" s="14" t="str">
        <x:v>M04</x:v>
      </x:c>
      <x:c r="C72" s="14" t="str">
        <x:v>电池束带</x:v>
      </x:c>
      <x:c r="D72" s="14" t="str">
        <x:v>10×300 mm；底部单层厚≤1.0 mm</x:v>
      </x:c>
      <x:c r="E72" s="15" t="n">
        <x:v>2</x:v>
      </x:c>
      <x:c r="F72" s="16" t="str">
        <x:v>件</x:v>
      </x:c>
      <x:c r="G72" s="14" t="str">
        <x:v>绝缘魔术贴束带</x:v>
      </x:c>
      <x:c r="H72" s="14" t="str">
        <x:v>采购/裁切</x:v>
      </x:c>
      <x:c r="I72" s="14" t="str">
        <x:v>外购耗材</x:v>
      </x:c>
      <x:c r="J72" s="14" t="str">
        <x:v>装机实配</x:v>
      </x:c>
      <x:c r="K72" s="14" t="str">
        <x:v>baseline_v81/body_hardware_bom.json</x:v>
      </x:c>
      <x:c r="L72" s="14" t="str">
        <x:v>机外穿带固定；保守绕行231mm加顶部搭接≥50mm；扣头/搭接避DC口并核实真实厚度。</x:v>
      </x:c>
      <x:c r="M72" s="14" t="str"/>
    </x:row>
    <x:row r="73" ht="40" customHeight="1">
      <x:c r="A73" s="14" t="str">
        <x:v>T01</x:v>
      </x:c>
      <x:c r="B73" s="14" t="str">
        <x:v>整机</x:v>
      </x:c>
      <x:c r="C73" s="14" t="str">
        <x:v>电源保护与主回路分断器件</x:v>
      </x:c>
      <x:c r="D73" s="14" t="str">
        <x:v>依电气额定值选型，不能由AC开关标称替代</x:v>
      </x:c>
      <x:c r="E73" s="15" t="str">
        <x:v>待定</x:v>
      </x:c>
      <x:c r="F73" s="16" t="str">
        <x:v>待定</x:v>
      </x:c>
      <x:c r="G73" s="14" t="str">
        <x:v>待定</x:v>
      </x:c>
      <x:c r="H73" s="14" t="str">
        <x:v>选型/采购</x:v>
      </x:c>
      <x:c r="I73" s="14" t="str">
        <x:v>待选型附件</x:v>
      </x:c>
      <x:c r="J73" s="14" t="str">
        <x:v>未选型，不计入已定数量</x:v>
      </x:c>
      <x:c r="K73" s="14" t="str">
        <x:v>ELECTRICAL_INTEGRATION.md</x:v>
      </x:c>
      <x:c r="L73" s="14" t="str">
        <x:v>转换器/配电板/自锁开关已分别列E09、E12、E13；此项仅保留未确定的保护器件、必要的DC分断方案，不重复采购。</x:v>
      </x:c>
      <x:c r="M73" s="14" t="str"/>
    </x:row>
    <x:row r="74" ht="40" customHeight="1">
      <x:c r="A74" s="14" t="str">
        <x:v>T02</x:v>
      </x:c>
      <x:c r="B74" s="14" t="str">
        <x:v>整机</x:v>
      </x:c>
      <x:c r="C74" s="14" t="str">
        <x:v>后部充电DC母座</x:v>
      </x:c>
      <x:c r="D74" s="14" t="str">
        <x:v>插合DC5.5×2.1；面板安装孔/螺纹/载流待确定</x:v>
      </x:c>
      <x:c r="E74" s="15" t="n">
        <x:v>1</x:v>
      </x:c>
      <x:c r="F74" s="16" t="str">
        <x:v>件</x:v>
      </x:c>
      <x:c r="G74" s="14" t="str">
        <x:v>待定</x:v>
      </x:c>
      <x:c r="H74" s="14" t="str">
        <x:v>选型/采购</x:v>
      </x:c>
      <x:c r="I74" s="14" t="str">
        <x:v>待选型附件</x:v>
      </x:c>
      <x:c r="J74" s="14" t="str">
        <x:v>已确定1件需求；型号未选定</x:v>
      </x:c>
      <x:c r="K74" s="14" t="str">
        <x:v>ELECTRICAL_INTEGRATION.md</x:v>
      </x:c>
      <x:c r="L74" s="14" t="str">
        <x:v>充电支路位于总开关前；背部右下可换板导孔待按母座图纸后加工。极性待核对。</x:v>
      </x:c>
      <x:c r="M74" s="14" t="str"/>
    </x:row>
    <x:row r="75" ht="55" customHeight="1">
      <x:c r="A75" s="14" t="str">
        <x:v>T03</x:v>
      </x:c>
      <x:c r="B75" s="14" t="str">
        <x:v>整机</x:v>
      </x:c>
      <x:c r="C75" s="14" t="str">
        <x:v>线束、插头与绝缘护线件</x:v>
      </x:c>
      <x:c r="D75" s="14" t="str">
        <x:v>待电气方案与实物确认</x:v>
      </x:c>
      <x:c r="E75" s="15" t="str">
        <x:v>待定</x:v>
      </x:c>
      <x:c r="F75" s="16" t="str">
        <x:v>待定</x:v>
      </x:c>
      <x:c r="G75" s="14" t="str">
        <x:v>待定</x:v>
      </x:c>
      <x:c r="H75" s="14" t="str">
        <x:v>选型/采购</x:v>
      </x:c>
      <x:c r="I75" s="14" t="str">
        <x:v>待选型附件</x:v>
      </x:c>
      <x:c r="J75" s="14" t="str">
        <x:v>未选型，不计入已定数量</x:v>
      </x:c>
      <x:c r="K75" s="14" t="str">
        <x:v>ELECTRICAL_INTEGRATION.md</x:v>
      </x:c>
      <x:c r="L75" s="14" t="str">
        <x:v>USB/DP→HDMI/DC一分二及电源线、CAN/电机线、护线件长度规格待实配。扩展坞150mm上行线、开关随件线、转换器130mm引线及电机原配线包含于对应总成，不重复计。</x:v>
      </x:c>
      <x:c r="M75" s="14" t="str"/>
    </x:row>
    <x:row r="76" ht="40" customHeight="1">
      <x:c r="A76" s="14" t="str">
        <x:v>T04</x:v>
      </x:c>
      <x:c r="B76" s="14" t="str">
        <x:v>整机</x:v>
      </x:c>
      <x:c r="C76" s="14" t="str">
        <x:v>螺纹防松与标记耗材</x:v>
      </x:c>
      <x:c r="D76" s="14" t="str">
        <x:v>待电气方案与实物确认</x:v>
      </x:c>
      <x:c r="E76" s="15" t="str">
        <x:v>待定</x:v>
      </x:c>
      <x:c r="F76" s="16" t="str">
        <x:v>待定</x:v>
      </x:c>
      <x:c r="G76" s="14" t="str">
        <x:v>待定</x:v>
      </x:c>
      <x:c r="H76" s="14" t="str">
        <x:v>选型/采购</x:v>
      </x:c>
      <x:c r="I76" s="14" t="str">
        <x:v>待选型附件</x:v>
      </x:c>
      <x:c r="J76" s="14" t="str">
        <x:v>未选型，不计入已定数量</x:v>
      </x:c>
      <x:c r="K76" s="14" t="str">
        <x:v>ELECTRICAL_INTEGRATION.md</x:v>
      </x:c>
      <x:c r="L76" s="14" t="str">
        <x:v>选与铝、钢及邻近塑料兼容的可拆防松工艺；扭矩经样件验证。</x:v>
      </x:c>
      <x:c r="M76" s="14" t="str"/>
    </x:row>
    <x:row r="77" ht="40" customHeight="1">
      <x:c r="A77" s="14" t="str">
        <x:v>P30</x:v>
      </x:c>
      <x:c r="B77" s="14" t="str">
        <x:v>M07</x:v>
      </x:c>
      <x:c r="C77" s="14" t="str">
        <x:v>配电通信一体安装架</x:v>
      </x:c>
      <x:c r="D77" s="14" t="str">
        <x:v>59.0 × 110.996 × 70.0 mm 包络；详见STEP</x:v>
      </x:c>
      <x:c r="E77" s="15" t="n">
        <x:v>1</x:v>
      </x:c>
      <x:c r="F77" s="16" t="str">
        <x:v>件</x:v>
      </x:c>
      <x:c r="G77" s="14" t="str">
        <x:v>PETG</x:v>
      </x:c>
      <x:c r="H77" s="14" t="str">
        <x:v>FDM 3D打印</x:v>
      </x:c>
      <x:c r="I77" s="14" t="str">
        <x:v>3D打印件</x:v>
      </x:c>
      <x:c r="J77" s="14" t="str">
        <x:v>样机首件；按接口与装配说明验收</x:v>
      </x:c>
      <x:c r="K77" s="14" t="str">
        <x:v>manufacturing/print/P30_electrical_service_carrier.step</x:v>
      </x:c>
      <x:c r="L77" s="14" t="str">
        <x:v>板卡和转换器先在机外预装；支柱下方保持绝缘与螺母净空，打印后清孔。</x:v>
      </x:c>
      <x:c r="M77" s="14" t="str"/>
    </x:row>
    <x:row r="78" ht="40" customHeight="1">
      <x:c r="A78" s="14" t="str">
        <x:v>P31</x:v>
      </x:c>
      <x:c r="B78" s="14" t="str">
        <x:v>M06</x:v>
      </x:c>
      <x:c r="C78" s="14" t="str">
        <x:v>背部USB扩展坞压托</x:v>
      </x:c>
      <x:c r="D78" s="14" t="str">
        <x:v>12.5 × 104.5 × 13.0 mm 包络；详见STEP</x:v>
      </x:c>
      <x:c r="E78" s="15" t="n">
        <x:v>1</x:v>
      </x:c>
      <x:c r="F78" s="16" t="str">
        <x:v>件</x:v>
      </x:c>
      <x:c r="G78" s="14" t="str">
        <x:v>PETG</x:v>
      </x:c>
      <x:c r="H78" s="14" t="str">
        <x:v>FDM 3D打印</x:v>
      </x:c>
      <x:c r="I78" s="14" t="str">
        <x:v>3D打印件</x:v>
      </x:c>
      <x:c r="J78" s="14" t="str">
        <x:v>样机首件；按接口与装配说明验收</x:v>
      </x:c>
      <x:c r="K78" s="14" t="str">
        <x:v>manufacturing/print/P31_USB_hub_rear_clamp.step</x:v>
      </x:c>
      <x:c r="L78" s="14" t="str">
        <x:v>仅压持壳体；保留插口和上行线应力释放，不以连接器受力定位。</x:v>
      </x:c>
      <x:c r="M78" s="14" t="str"/>
    </x:row>
    <x:row r="79" ht="40" customHeight="1">
      <x:c r="A79" s="14" t="str">
        <x:v>P32</x:v>
      </x:c>
      <x:c r="B79" s="14" t="str">
        <x:v>M06</x:v>
      </x:c>
      <x:c r="C79" s="14" t="str">
        <x:v>后充电口可换安装板</x:v>
      </x:c>
      <x:c r="D79" s="14" t="str">
        <x:v>2.5 × 34.0 × 22.0 mm 包络；详见STEP</x:v>
      </x:c>
      <x:c r="E79" s="15" t="n">
        <x:v>1</x:v>
      </x:c>
      <x:c r="F79" s="16" t="str">
        <x:v>件</x:v>
      </x:c>
      <x:c r="G79" s="14" t="str">
        <x:v>PETG</x:v>
      </x:c>
      <x:c r="H79" s="14" t="str">
        <x:v>FDM 3D打印</x:v>
      </x:c>
      <x:c r="I79" s="14" t="str">
        <x:v>3D打印件</x:v>
      </x:c>
      <x:c r="J79" s="14" t="str">
        <x:v>样机首件；按接口与装配说明验收</x:v>
      </x:c>
      <x:c r="K79" s="14" t="str">
        <x:v>manufacturing/print/P32_DC_charge_replaceable_plate.step</x:v>
      </x:c>
      <x:c r="L79" s="14" t="str">
        <x:v>预留导孔不等于DC母座安装孔；按所选母座图纸再扩孔或重打。</x:v>
      </x:c>
      <x:c r="M79" s="14" t="str"/>
    </x:row>
    <x:row r="80" ht="40" customHeight="1">
      <x:c r="A80" s="14" t="str">
        <x:v>EH01</x:v>
      </x:c>
      <x:c r="B80" s="14" t="str">
        <x:v>M07</x:v>
      </x:c>
      <x:c r="C80" s="14" t="str">
        <x:v>内六角圆柱头螺钉</x:v>
      </x:c>
      <x:c r="D80" s="14" t="str">
        <x:v>ISO4762 M1.6×10</x:v>
      </x:c>
      <x:c r="E80" s="15" t="n">
        <x:v>4</x:v>
      </x:c>
      <x:c r="F80" s="16" t="str">
        <x:v>件</x:v>
      </x:c>
      <x:c r="G80" s="14" t="str">
        <x:v>钢8.8；发黑</x:v>
      </x:c>
      <x:c r="H80" s="14" t="str">
        <x:v>采购</x:v>
      </x:c>
      <x:c r="I80" s="14" t="str">
        <x:v>标准件</x:v>
      </x:c>
      <x:c r="J80" s="14" t="str">
        <x:v>核对等级、头部包络及实物孔隙</x:v>
      </x:c>
      <x:c r="K80" s="14" t="str">
        <x:v>electrical_build.json；ELECTRICAL_INTEGRATION.md</x:v>
      </x:c>
      <x:c r="L80" s="14" t="str">
        <x:v>标准简化几何；首件确认工具空间和防松。</x:v>
      </x:c>
      <x:c r="M80" s="14" t="str">
        <x:v>ISO4762|M1.6x10|8.8|steel|black</x:v>
      </x:c>
    </x:row>
    <x:row r="81" ht="40" customHeight="1">
      <x:c r="A81" s="14" t="str">
        <x:v>EH02</x:v>
      </x:c>
      <x:c r="B81" s="14" t="str">
        <x:v>M07</x:v>
      </x:c>
      <x:c r="C81" s="14" t="str">
        <x:v>六角螺母</x:v>
      </x:c>
      <x:c r="D81" s="14" t="str">
        <x:v>ISO4032 M1.6；AF3.2×1.3</x:v>
      </x:c>
      <x:c r="E81" s="15" t="n">
        <x:v>4</x:v>
      </x:c>
      <x:c r="F81" s="16" t="str">
        <x:v>件</x:v>
      </x:c>
      <x:c r="G81" s="14" t="str">
        <x:v>钢8；镀锌</x:v>
      </x:c>
      <x:c r="H81" s="14" t="str">
        <x:v>采购</x:v>
      </x:c>
      <x:c r="I81" s="14" t="str">
        <x:v>标准件</x:v>
      </x:c>
      <x:c r="J81" s="14" t="str">
        <x:v>核对等级、头部包络及实物孔隙</x:v>
      </x:c>
      <x:c r="K81" s="14" t="str">
        <x:v>electrical_build.json；ELECTRICAL_INTEGRATION.md</x:v>
      </x:c>
      <x:c r="L81" s="14" t="str">
        <x:v>标准简化几何；首件确认工具空间和防松。</x:v>
      </x:c>
      <x:c r="M81" s="14" t="str">
        <x:v>ISO4032|M1.6|8|steel|zinc|AF3.2_t1.3</x:v>
      </x:c>
    </x:row>
    <x:row r="82" ht="40" customHeight="1">
      <x:c r="A82" s="14" t="str">
        <x:v>EH03</x:v>
      </x:c>
      <x:c r="B82" s="14" t="str">
        <x:v>M07</x:v>
      </x:c>
      <x:c r="C82" s="14" t="str">
        <x:v>内六角圆柱头螺钉</x:v>
      </x:c>
      <x:c r="D82" s="14" t="str">
        <x:v>ISO4762 M2.5×12</x:v>
      </x:c>
      <x:c r="E82" s="15" t="n">
        <x:v>4</x:v>
      </x:c>
      <x:c r="F82" s="16" t="str">
        <x:v>件</x:v>
      </x:c>
      <x:c r="G82" s="14" t="str">
        <x:v>钢8.8；发黑</x:v>
      </x:c>
      <x:c r="H82" s="14" t="str">
        <x:v>采购</x:v>
      </x:c>
      <x:c r="I82" s="14" t="str">
        <x:v>标准件</x:v>
      </x:c>
      <x:c r="J82" s="14" t="str">
        <x:v>核对等级、头部包络及实物孔隙</x:v>
      </x:c>
      <x:c r="K82" s="14" t="str">
        <x:v>electrical_build.json；ELECTRICAL_INTEGRATION.md</x:v>
      </x:c>
      <x:c r="L82" s="14" t="str">
        <x:v>标准简化几何；首件确认工具空间和防松。</x:v>
      </x:c>
      <x:c r="M82" s="14" t="str">
        <x:v>ISO4762|M2.5x12|8.8|steel|black|smooth_headD4.5</x:v>
      </x:c>
    </x:row>
    <x:row r="83" ht="55" customHeight="1">
      <x:c r="A83" s="14" t="str">
        <x:v>E09</x:v>
      </x:c>
      <x:c r="B83" s="14" t="str">
        <x:v>M06</x:v>
      </x:c>
      <x:c r="C83" s="14" t="str">
        <x:v>顶部自锁电源开关及插接座</x:v>
      </x:c>
      <x:c r="D83" s="14" t="str">
        <x:v>M16×1，法兰Ø17.8，AF19螺母；带插接座深47.5 mm</x:v>
      </x:c>
      <x:c r="E83" s="15" t="n">
        <x:v>1</x:v>
      </x:c>
      <x:c r="F83" s="16" t="str">
        <x:v>件</x:v>
      </x:c>
      <x:c r="G83" s="14" t="str">
        <x:v>外购电子/机电总成</x:v>
      </x:c>
      <x:c r="H83" s="14" t="str">
        <x:v>整件采购</x:v>
      </x:c>
      <x:c r="I83" s="14" t="str">
        <x:v>外购设备</x:v>
      </x:c>
      <x:c r="J83" s="14" t="str">
        <x:v>机械包络已建模；电气/实物参数待核实</x:v>
      </x:c>
      <x:c r="K83" s="14" t="str">
        <x:v>用户开关尺寸图</x:v>
      </x:c>
      <x:c r="L83" s="14" t="str">
        <x:v>自锁型已确认；包含开关自带安装螺母、插接座及随件线，不重复计标准螺母。直流分断和LED电压待核实。 工程质量预算35 g；未实测，不是厂家质量规格。</x:v>
      </x:c>
      <x:c r="M83" s="14" t="str"/>
    </x:row>
    <x:row r="84" ht="55" customHeight="1">
      <x:c r="A84" s="14" t="str">
        <x:v>E10</x:v>
      </x:c>
      <x:c r="B84" s="14" t="str">
        <x:v>M08</x:v>
      </x:c>
      <x:c r="C84" s="14" t="str">
        <x:v>背部四口USB扩展坞</x:v>
      </x:c>
      <x:c r="D84" s="14" t="str">
        <x:v>104×30×10 mm；一体USB-A上行线150 mm，线径约4.8 mm</x:v>
      </x:c>
      <x:c r="E84" s="15" t="n">
        <x:v>1</x:v>
      </x:c>
      <x:c r="F84" s="16" t="str">
        <x:v>件</x:v>
      </x:c>
      <x:c r="G84" s="14" t="str">
        <x:v>外购电子/机电总成</x:v>
      </x:c>
      <x:c r="H84" s="14" t="str">
        <x:v>整件采购</x:v>
      </x:c>
      <x:c r="I84" s="14" t="str">
        <x:v>外购设备</x:v>
      </x:c>
      <x:c r="J84" s="14" t="str">
        <x:v>机械包络已建模；电气/实物参数待核实</x:v>
      </x:c>
      <x:c r="K84" s="14" t="str">
        <x:v>用户扩展坞尺寸图</x:v>
      </x:c>
      <x:c r="L84" s="14" t="str">
        <x:v>四口向背部露出；接口速率、供电限制、型号待确认。上行线随件，不单独重复计。 工程质量预算60 g；未实测，不是厂家质量规格。</x:v>
      </x:c>
      <x:c r="M84" s="14" t="str"/>
    </x:row>
    <x:row r="85" ht="55" customHeight="1">
      <x:c r="A85" s="14" t="str">
        <x:v>E11</x:v>
      </x:c>
      <x:c r="B85" s="14" t="str">
        <x:v>M07</x:v>
      </x:c>
      <x:c r="C85" s="14" t="str">
        <x:v>达妙双路USB2CANFD裸板</x:v>
      </x:c>
      <x:c r="D85" s="14" t="str">
        <x:v>DM-USB2CANFD Dual；使用提供模型中的裸板</x:v>
      </x:c>
      <x:c r="E85" s="15" t="n">
        <x:v>1</x:v>
      </x:c>
      <x:c r="F85" s="16" t="str">
        <x:v>件</x:v>
      </x:c>
      <x:c r="G85" s="14" t="str">
        <x:v>外购电子/机电总成</x:v>
      </x:c>
      <x:c r="H85" s="14" t="str">
        <x:v>整件采购</x:v>
      </x:c>
      <x:c r="I85" s="14" t="str">
        <x:v>外购设备</x:v>
      </x:c>
      <x:c r="J85" s="14" t="str">
        <x:v>机械包络已建模；电气/实物参数待核实</x:v>
      </x:c>
      <x:c r="K85" s="14" t="str">
        <x:v>达妙USB2CANFD_Dual原始STEP及说明书V1.0</x:v>
      </x:c>
      <x:c r="L85" s="14" t="str">
        <x:v>壳体、原壳螺钉和导光柱不装入机器人；USB Type-C供电+数据，GH1.25 2P仅CAN。裸板可独立采购或由整机模块拆得，不双计。 工程质量预算18 g；未实测，不是厂家质量规格。</x:v>
      </x:c>
      <x:c r="M85" s="14" t="str"/>
    </x:row>
    <x:row r="86" ht="55" customHeight="1">
      <x:c r="A86" s="14" t="str">
        <x:v>E12</x:v>
      </x:c>
      <x:c r="B86" s="14" t="str">
        <x:v>M07</x:v>
      </x:c>
      <x:c r="C86" s="14" t="str">
        <x:v>用户配电转接板</x:v>
      </x:c>
      <x:c r="D86" s="14" t="str">
        <x:v>3D_PCB1_2026-09-28.step 对应板组件</x:v>
      </x:c>
      <x:c r="E86" s="15" t="n">
        <x:v>1</x:v>
      </x:c>
      <x:c r="F86" s="16" t="str">
        <x:v>件</x:v>
      </x:c>
      <x:c r="G86" s="14" t="str">
        <x:v>外购电子/机电总成</x:v>
      </x:c>
      <x:c r="H86" s="14" t="str">
        <x:v>整件采购</x:v>
      </x:c>
      <x:c r="I86" s="14" t="str">
        <x:v>外购设备</x:v>
      </x:c>
      <x:c r="J86" s="14" t="str">
        <x:v>机械包络已建模；电气/实物参数待核实</x:v>
      </x:c>
      <x:c r="K86" s="14" t="str">
        <x:v>用户STEP，2026-09-28</x:v>
      </x:c>
      <x:c r="L86" s="14" t="str">
        <x:v>仅外形和孔位已建模；原理图、铜厚、网络、正负极及载流量未核实。板上连接器计入总成。 工程质量预算18 g；未实测，不是厂家质量规格。</x:v>
      </x:c>
      <x:c r="M86" s="14" t="str"/>
    </x:row>
    <x:row r="87" ht="55" customHeight="1">
      <x:c r="A87" s="14" t="str">
        <x:v>E13</x:v>
      </x:c>
      <x:c r="B87" s="14" t="str">
        <x:v>M07</x:v>
      </x:c>
      <x:c r="C87" s="14" t="str">
        <x:v>24→19 V电源转换模块</x:v>
      </x:c>
      <x:c r="D87" s="14" t="str">
        <x:v>主体45×25×20 mm；总长58 mm；孔距51 mm，孔Ø4 mm</x:v>
      </x:c>
      <x:c r="E87" s="15" t="n">
        <x:v>1</x:v>
      </x:c>
      <x:c r="F87" s="16" t="str">
        <x:v>件</x:v>
      </x:c>
      <x:c r="G87" s="14" t="str">
        <x:v>外购电子/机电总成</x:v>
      </x:c>
      <x:c r="H87" s="14" t="str">
        <x:v>整件采购</x:v>
      </x:c>
      <x:c r="I87" s="14" t="str">
        <x:v>外购设备</x:v>
      </x:c>
      <x:c r="J87" s="14" t="str">
        <x:v>机械包络已建模；电气/实物参数待核实</x:v>
      </x:c>
      <x:c r="K87" s="14" t="str">
        <x:v>用户DC/DC尺寸图</x:v>
      </x:c>
      <x:c r="L87" s="14" t="str">
        <x:v>按图示包络安装；功率、电流、输入范围、低压行为、耳片厚度均需实物核验。随件130 mm引线计入总成。 工程质量预算65 g；未实测，不是厂家质量规格。</x:v>
      </x:c>
      <x:c r="M87" s="14" t="str"/>
    </x:row>
    <x:row r="88" ht="40" customHeight="1">
      <x:c r="A88" s="14" t="str">
        <x:v>C03</x:v>
      </x:c>
      <x:c r="B88" s="14" t="str">
        <x:v>M08</x:v>
      </x:c>
      <x:c r="C88" s="14" t="str">
        <x:v>扩展坞防响软垫</x:v>
      </x:c>
      <x:c r="D88" s="14" t="str">
        <x:v>2×15×0.5 mm；两片，0.5为装配间隙目标</x:v>
      </x:c>
      <x:c r="E88" s="15" t="n">
        <x:v>2</x:v>
      </x:c>
      <x:c r="F88" s="16" t="str">
        <x:v>片</x:v>
      </x:c>
      <x:c r="G88" s="14" t="str">
        <x:v>薄弹性自粘片</x:v>
      </x:c>
      <x:c r="H88" s="14" t="str">
        <x:v>采购/裁切</x:v>
      </x:c>
      <x:c r="I88" s="14" t="str">
        <x:v>外购耗材</x:v>
      </x:c>
      <x:c r="J88" s="14" t="str">
        <x:v>装机实配压缩厚度</x:v>
      </x:c>
      <x:c r="K88" s="14" t="str">
        <x:v>MODULE_ASSEMBLY.md</x:v>
      </x:c>
      <x:c r="L88" s="14" t="str">
        <x:v>X−63..−61，Y中心±35，Z10..10.5；只压非端口壳边。未作为独立刚体建模，不由未压缩泡棉标称厚度替代实际间隙。</x:v>
      </x:c>
      <x:c r="M88" s="14" t="str"/>
    </x:row>
    <x:row r="89" ht="55" customHeight="1">
      <x:c r="A89" s="14" t="str">
        <x:v>C04</x:v>
      </x:c>
      <x:c r="B89" s="14" t="str">
        <x:v>M08</x:v>
      </x:c>
      <x:c r="C89" s="14" t="str">
        <x:v>USB3数据延长线</x:v>
      </x:c>
      <x:c r="D89" s="14" t="str">
        <x:v>USB-A公→USB-A母；250 mm</x:v>
      </x:c>
      <x:c r="E89" s="15" t="n">
        <x:v>1</x:v>
      </x:c>
      <x:c r="F89" s="16" t="str">
        <x:v>根</x:v>
      </x:c>
      <x:c r="G89" s="14" t="str">
        <x:v>成品数据线</x:v>
      </x:c>
      <x:c r="H89" s="14" t="str">
        <x:v>采购</x:v>
      </x:c>
      <x:c r="I89" s="14" t="str">
        <x:v>外购耗材</x:v>
      </x:c>
      <x:c r="J89" s="14" t="str">
        <x:v>型号/接头包络待实配</x:v>
      </x:c>
      <x:c r="K89" s="14" t="str">
        <x:v>routing_allowances.json；ELECTRICAL_INTEGRATION.md</x:v>
      </x:c>
      <x:c r="L89" s="14" t="str">
        <x:v>与扩展坞原配150mm线组合绕过机内障碍；支持USB3数据，非仅充电线。长度含接头的定义与弯曲需实测；不重复计随坞原线。</x:v>
      </x:c>
      <x:c r="M89" s="14" t="str"/>
    </x:row>
    <x:row r="90" ht="55" customHeight="1">
      <x:c r="A90" s="14" t="str">
        <x:v>T05</x:v>
      </x:c>
      <x:c r="B90" s="14" t="str">
        <x:v>M04、M06</x:v>
      </x:c>
      <x:c r="C90" s="14" t="str">
        <x:v>机壳及托盘护线套</x:v>
      </x:c>
      <x:c r="D90" s="14" t="str">
        <x:v>适用Ø10面板孔、3mm板厚；净孔≥7mm</x:v>
      </x:c>
      <x:c r="E90" s="15" t="n">
        <x:v>3</x:v>
      </x:c>
      <x:c r="F90" s="16" t="str">
        <x:v>件</x:v>
      </x:c>
      <x:c r="G90" s="14" t="str">
        <x:v>绝缘弹性体待定</x:v>
      </x:c>
      <x:c r="H90" s="14" t="str">
        <x:v>选型/采购</x:v>
      </x:c>
      <x:c r="I90" s="14" t="str">
        <x:v>待选型附件</x:v>
      </x:c>
      <x:c r="J90" s="14" t="str">
        <x:v>已确定3处孔；型号未选定</x:v>
      </x:c>
      <x:c r="K90" s="14" t="str">
        <x:v>routing_allowances.json；MODULE_ASSEMBLY.md</x:v>
      </x:c>
      <x:c r="L90" s="14" t="str">
        <x:v>两侧机壳出线孔各1、托盘过线孔1。需确认实际线束/预装插头能穿过，必要时选可开合护线套；不把设计孔当选定商品。</x:v>
      </x:c>
      <x:c r="M90" s="14" t="str"/>
    </x:row>
  </x:sheetData>
  <x:conditionalFormatting sqref="J8:J90">
    <x:cfRule type="containsText" dxfId="0" priority="1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fadbd834177542c3"/>
  </x:tableParts>
</x:worksheet>
</file>